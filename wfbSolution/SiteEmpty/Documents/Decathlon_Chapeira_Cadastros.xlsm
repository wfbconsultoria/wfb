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bihospitalar-my.sharepoint.com/personal/wfbconsultoria_wfbconsultoria_com_br/Documents/DECATHLON/Documentos/"/>
    </mc:Choice>
  </mc:AlternateContent>
  <xr:revisionPtr revIDLastSave="1270" documentId="8_{28CBDE32-5D32-4F3E-A98A-1E1947C99D1F}" xr6:coauthVersionLast="45" xr6:coauthVersionMax="45" xr10:uidLastSave="{10466D8E-E106-44AD-9234-C65B496BF002}"/>
  <bookViews>
    <workbookView xWindow="-120" yWindow="-120" windowWidth="38640" windowHeight="15840" firstSheet="1" activeTab="1" xr2:uid="{018A0739-C443-4B74-974B-7302A66C91C5}"/>
  </bookViews>
  <sheets>
    <sheet name="Config" sheetId="10" state="hidden" r:id="rId1"/>
    <sheet name="Funcionarios" sheetId="6" r:id="rId2"/>
    <sheet name="Terceiros" sheetId="7" r:id="rId3"/>
    <sheet name="Visitantes" sheetId="9" r:id="rId4"/>
    <sheet name="Lojas" sheetId="1" r:id="rId5"/>
    <sheet name="Config Loja" sheetId="5" r:id="rId6"/>
  </sheets>
  <functionGroups builtInGroupCount="19"/>
  <definedNames>
    <definedName name="BANCO_DADOS">Config!$B$6</definedName>
    <definedName name="Esta_Loja">Lojas!$C$3</definedName>
    <definedName name="Esta_Loja_Sigla">Lojas!$B$3</definedName>
    <definedName name="Loja">#REF!</definedName>
    <definedName name="Loja_Sigla">#REF!</definedName>
    <definedName name="Lojas_Siglas" localSheetId="5">Lojas[Sigla]</definedName>
    <definedName name="Lojas_Siglas" localSheetId="2">Lojas[Sigla]</definedName>
    <definedName name="Lojas_Siglas" localSheetId="3">Lojas[Sigla]</definedName>
    <definedName name="Lojas_Siglas">Lojas[Sigla]</definedName>
    <definedName name="Mensagem_Colaboradores">Funcionarios!$A$2</definedName>
    <definedName name="Mensagem_Terceiros">Terceiros!$A$2</definedName>
    <definedName name="Mensagem_Visitantes">Visitantes!$A$2</definedName>
    <definedName name="SENHA">Config!$B$8</definedName>
    <definedName name="SERVIDOR_SQL">Config!$B$5</definedName>
    <definedName name="Total_Colaboradores">Funcionarios!$D$1</definedName>
    <definedName name="Total_Terceiros">Terceiros!$D$1</definedName>
    <definedName name="Total_Visitantes">Visitantes!$D$1</definedName>
    <definedName name="USUARIO">Config!$B$7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7" i="5" l="1"/>
  <c r="O17" i="5" s="1"/>
  <c r="N6" i="5"/>
  <c r="N7" i="5"/>
  <c r="N8" i="5"/>
  <c r="N9" i="5"/>
  <c r="N10" i="5"/>
  <c r="N11" i="5"/>
  <c r="N12" i="5"/>
  <c r="N13" i="5"/>
  <c r="N14" i="5"/>
  <c r="N15" i="5"/>
  <c r="N16" i="5"/>
  <c r="N18" i="5"/>
  <c r="N19" i="5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C3" i="1" l="1"/>
  <c r="A5" i="7" l="1"/>
  <c r="A6" i="7"/>
  <c r="A7" i="7"/>
  <c r="A8" i="7"/>
  <c r="A9" i="7"/>
  <c r="A4" i="7"/>
  <c r="A4" i="9"/>
  <c r="A5" i="9"/>
  <c r="A6" i="9"/>
  <c r="A7" i="9"/>
  <c r="A8" i="9"/>
  <c r="A9" i="9"/>
  <c r="E4" i="9"/>
  <c r="F4" i="9"/>
  <c r="G4" i="9"/>
  <c r="H4" i="9"/>
  <c r="I4" i="9"/>
  <c r="E5" i="9"/>
  <c r="F5" i="9"/>
  <c r="G5" i="9"/>
  <c r="H5" i="9"/>
  <c r="I5" i="9"/>
  <c r="E6" i="9"/>
  <c r="F6" i="9"/>
  <c r="G6" i="9"/>
  <c r="H6" i="9"/>
  <c r="I6" i="9"/>
  <c r="E7" i="9"/>
  <c r="F7" i="9"/>
  <c r="G7" i="9"/>
  <c r="H7" i="9"/>
  <c r="I7" i="9"/>
  <c r="E8" i="9"/>
  <c r="F8" i="9"/>
  <c r="G8" i="9"/>
  <c r="H8" i="9"/>
  <c r="I8" i="9"/>
  <c r="E9" i="9"/>
  <c r="F9" i="9"/>
  <c r="G9" i="9"/>
  <c r="H9" i="9"/>
  <c r="I9" i="9"/>
  <c r="D4" i="7"/>
  <c r="D5" i="7"/>
  <c r="D6" i="7"/>
  <c r="D7" i="7"/>
  <c r="D8" i="7"/>
  <c r="D9" i="7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M9" i="7"/>
  <c r="M8" i="7"/>
  <c r="M7" i="7"/>
  <c r="M6" i="7"/>
  <c r="M5" i="7"/>
  <c r="M4" i="7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B46" i="6"/>
  <c r="B47" i="6"/>
  <c r="B48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J7" i="9"/>
  <c r="D1" i="9" l="1"/>
  <c r="D1" i="7"/>
  <c r="D1" i="6"/>
  <c r="J8" i="9"/>
  <c r="J4" i="9"/>
  <c r="J9" i="9"/>
  <c r="J5" i="9"/>
  <c r="J6" i="9"/>
  <c r="I6" i="7"/>
  <c r="J4" i="7"/>
  <c r="L35" i="6"/>
  <c r="I5" i="7"/>
  <c r="I9" i="7"/>
  <c r="K32" i="6"/>
  <c r="L33" i="6"/>
  <c r="J7" i="7"/>
  <c r="L36" i="6"/>
  <c r="J8" i="7"/>
  <c r="L20" i="6"/>
  <c r="I4" i="7"/>
  <c r="I8" i="7"/>
  <c r="K9" i="6"/>
  <c r="L15" i="6"/>
  <c r="J6" i="7"/>
  <c r="I7" i="7"/>
  <c r="K26" i="6"/>
  <c r="J5" i="7"/>
  <c r="J9" i="7"/>
  <c r="P27" i="6"/>
  <c r="P42" i="6"/>
  <c r="P34" i="6"/>
  <c r="P26" i="6"/>
  <c r="P18" i="6"/>
  <c r="P10" i="6"/>
  <c r="P43" i="6"/>
  <c r="P41" i="6"/>
  <c r="P25" i="6"/>
  <c r="P17" i="6"/>
  <c r="P9" i="6"/>
  <c r="N9" i="7"/>
  <c r="P32" i="6"/>
  <c r="P16" i="6"/>
  <c r="P39" i="6"/>
  <c r="P31" i="6"/>
  <c r="P23" i="6"/>
  <c r="P15" i="6"/>
  <c r="P7" i="6"/>
  <c r="N7" i="7"/>
  <c r="P19" i="6"/>
  <c r="P33" i="6"/>
  <c r="P40" i="6"/>
  <c r="P24" i="6"/>
  <c r="P8" i="6"/>
  <c r="N8" i="7"/>
  <c r="P48" i="6"/>
  <c r="P38" i="6"/>
  <c r="P30" i="6"/>
  <c r="P22" i="6"/>
  <c r="P14" i="6"/>
  <c r="P6" i="6"/>
  <c r="N6" i="7"/>
  <c r="P35" i="6"/>
  <c r="P47" i="6"/>
  <c r="P37" i="6"/>
  <c r="P21" i="6"/>
  <c r="P5" i="6"/>
  <c r="N5" i="7"/>
  <c r="P11" i="6"/>
  <c r="P45" i="6"/>
  <c r="P29" i="6"/>
  <c r="P13" i="6"/>
  <c r="P46" i="6"/>
  <c r="P44" i="6"/>
  <c r="P36" i="6"/>
  <c r="P28" i="6"/>
  <c r="P20" i="6"/>
  <c r="P12" i="6"/>
  <c r="P4" i="6"/>
  <c r="N4" i="7"/>
  <c r="L34" i="6"/>
  <c r="L26" i="6"/>
  <c r="L14" i="6"/>
  <c r="L28" i="6"/>
  <c r="L27" i="6"/>
  <c r="L25" i="6"/>
  <c r="L32" i="6"/>
  <c r="L24" i="6"/>
  <c r="L12" i="6"/>
  <c r="L31" i="6"/>
  <c r="L23" i="6"/>
  <c r="L11" i="6"/>
  <c r="L30" i="6"/>
  <c r="L22" i="6"/>
  <c r="L10" i="6"/>
  <c r="L13" i="6"/>
  <c r="L29" i="6"/>
  <c r="L21" i="6"/>
  <c r="L9" i="6"/>
  <c r="L37" i="6"/>
  <c r="L47" i="6"/>
  <c r="L18" i="6"/>
  <c r="L5" i="6"/>
  <c r="L4" i="6"/>
  <c r="L45" i="6"/>
  <c r="L44" i="6"/>
  <c r="L46" i="6"/>
  <c r="L42" i="6"/>
  <c r="L43" i="6"/>
  <c r="L19" i="6"/>
  <c r="K40" i="6"/>
  <c r="L41" i="6"/>
  <c r="L17" i="6"/>
  <c r="L40" i="6"/>
  <c r="L16" i="6"/>
  <c r="L8" i="6"/>
  <c r="L39" i="6"/>
  <c r="L7" i="6"/>
  <c r="L48" i="6"/>
  <c r="L38" i="6"/>
  <c r="L6" i="6"/>
  <c r="K25" i="6"/>
  <c r="K38" i="6"/>
  <c r="K24" i="6"/>
  <c r="K45" i="6"/>
  <c r="K37" i="6"/>
  <c r="K23" i="6"/>
  <c r="K44" i="6"/>
  <c r="K12" i="6"/>
  <c r="K43" i="6"/>
  <c r="K31" i="6"/>
  <c r="K11" i="6"/>
  <c r="K39" i="6"/>
  <c r="K16" i="6"/>
  <c r="K42" i="6"/>
  <c r="K28" i="6"/>
  <c r="K10" i="6"/>
  <c r="K8" i="6"/>
  <c r="K41" i="6"/>
  <c r="K27" i="6"/>
  <c r="K7" i="6"/>
  <c r="K15" i="6"/>
  <c r="K14" i="6"/>
  <c r="K13" i="6"/>
  <c r="O11" i="5"/>
  <c r="K47" i="6"/>
  <c r="K29" i="6"/>
  <c r="K21" i="6"/>
  <c r="K5" i="6"/>
  <c r="O6" i="5"/>
  <c r="K46" i="6"/>
  <c r="K36" i="6"/>
  <c r="K20" i="6"/>
  <c r="K30" i="6"/>
  <c r="K22" i="6"/>
  <c r="K4" i="6"/>
  <c r="K35" i="6"/>
  <c r="K19" i="6"/>
  <c r="K48" i="6"/>
  <c r="O15" i="5"/>
  <c r="K34" i="6"/>
  <c r="K18" i="6"/>
  <c r="K33" i="6"/>
  <c r="K17" i="6"/>
  <c r="K6" i="6"/>
  <c r="C4" i="6"/>
  <c r="C19" i="6"/>
  <c r="C34" i="6"/>
  <c r="C26" i="6"/>
  <c r="C18" i="6"/>
  <c r="C10" i="6"/>
  <c r="C27" i="6"/>
  <c r="C11" i="6"/>
  <c r="C42" i="6"/>
  <c r="C41" i="6"/>
  <c r="C33" i="6"/>
  <c r="C25" i="6"/>
  <c r="C17" i="6"/>
  <c r="C9" i="6"/>
  <c r="C24" i="6"/>
  <c r="C8" i="6"/>
  <c r="C35" i="6"/>
  <c r="C16" i="6"/>
  <c r="C39" i="6"/>
  <c r="C31" i="6"/>
  <c r="C23" i="6"/>
  <c r="C15" i="6"/>
  <c r="C7" i="6"/>
  <c r="C43" i="6"/>
  <c r="C32" i="6"/>
  <c r="C38" i="6"/>
  <c r="C30" i="6"/>
  <c r="C22" i="6"/>
  <c r="C14" i="6"/>
  <c r="C6" i="6"/>
  <c r="C40" i="6"/>
  <c r="C48" i="6"/>
  <c r="C47" i="6"/>
  <c r="C45" i="6"/>
  <c r="C37" i="6"/>
  <c r="C29" i="6"/>
  <c r="C21" i="6"/>
  <c r="C13" i="6"/>
  <c r="C5" i="6"/>
  <c r="C46" i="6"/>
  <c r="C44" i="6"/>
  <c r="C36" i="6"/>
  <c r="C28" i="6"/>
  <c r="C20" i="6"/>
  <c r="C12" i="6"/>
  <c r="O7" i="5"/>
  <c r="O13" i="5"/>
  <c r="O12" i="5"/>
  <c r="O16" i="5"/>
  <c r="O8" i="5"/>
  <c r="O18" i="5"/>
  <c r="O9" i="5"/>
  <c r="O10" i="5"/>
  <c r="O19" i="5"/>
  <c r="O14" i="5"/>
  <c r="I14" i="5"/>
  <c r="I13" i="5"/>
  <c r="I12" i="5"/>
  <c r="I11" i="5"/>
  <c r="I10" i="5"/>
  <c r="I9" i="5"/>
  <c r="I8" i="5"/>
  <c r="I7" i="5"/>
  <c r="I6" i="5"/>
  <c r="S17" i="5" l="1"/>
  <c r="T17" i="5"/>
  <c r="T9" i="5"/>
  <c r="T18" i="5"/>
  <c r="T15" i="5"/>
  <c r="T10" i="5"/>
  <c r="T19" i="5"/>
  <c r="T11" i="5"/>
  <c r="T7" i="5"/>
  <c r="T12" i="5"/>
  <c r="T16" i="5"/>
  <c r="T13" i="5"/>
  <c r="T6" i="5"/>
  <c r="T14" i="5"/>
  <c r="T8" i="5"/>
  <c r="S6" i="5"/>
  <c r="S15" i="5"/>
  <c r="S10" i="5"/>
  <c r="S7" i="5"/>
  <c r="S16" i="5"/>
  <c r="S14" i="5"/>
  <c r="S8" i="5"/>
  <c r="S18" i="5"/>
  <c r="S13" i="5"/>
  <c r="S9" i="5"/>
  <c r="S12" i="5"/>
  <c r="S19" i="5"/>
  <c r="S11" i="5"/>
  <c r="J7" i="5"/>
  <c r="J9" i="5"/>
  <c r="J11" i="5"/>
  <c r="J14" i="5"/>
  <c r="J8" i="5"/>
  <c r="J10" i="5"/>
  <c r="J12" i="5"/>
  <c r="J13" i="5"/>
  <c r="J6" i="5"/>
  <c r="M16" i="6" l="1"/>
  <c r="M18" i="6"/>
  <c r="M19" i="6"/>
  <c r="M17" i="6"/>
  <c r="L7" i="7"/>
  <c r="L9" i="7"/>
  <c r="L6" i="7"/>
  <c r="M24" i="6"/>
  <c r="M23" i="6"/>
  <c r="M22" i="6"/>
  <c r="M21" i="6"/>
  <c r="M20" i="6"/>
  <c r="M43" i="6"/>
  <c r="M44" i="6"/>
  <c r="M40" i="6"/>
  <c r="M45" i="6"/>
  <c r="M38" i="6"/>
  <c r="M37" i="6"/>
  <c r="M42" i="6"/>
  <c r="M39" i="6"/>
  <c r="M41" i="6"/>
  <c r="L4" i="7"/>
  <c r="L8" i="7"/>
  <c r="M14" i="6"/>
  <c r="M15" i="6"/>
  <c r="M4" i="6"/>
  <c r="M6" i="6"/>
  <c r="M5" i="6"/>
  <c r="M7" i="6"/>
  <c r="M8" i="6"/>
  <c r="M25" i="6"/>
  <c r="M27" i="6"/>
  <c r="M28" i="6"/>
  <c r="M26" i="6"/>
  <c r="M31" i="6"/>
  <c r="M32" i="6"/>
  <c r="M35" i="6"/>
  <c r="M30" i="6"/>
  <c r="M33" i="6"/>
  <c r="M29" i="6"/>
  <c r="M36" i="6"/>
  <c r="M34" i="6"/>
  <c r="K7" i="7"/>
  <c r="K6" i="7"/>
  <c r="K9" i="7"/>
  <c r="L5" i="7"/>
  <c r="M46" i="6"/>
  <c r="M48" i="6"/>
  <c r="M47" i="6"/>
  <c r="K4" i="7"/>
  <c r="K8" i="7"/>
  <c r="K5" i="7"/>
  <c r="M13" i="6"/>
  <c r="M10" i="6"/>
  <c r="M9" i="6"/>
  <c r="M11" i="6"/>
  <c r="M12" i="6"/>
  <c r="N14" i="6"/>
  <c r="N15" i="6"/>
  <c r="N5" i="6"/>
  <c r="N4" i="6"/>
  <c r="N7" i="6"/>
  <c r="N8" i="6"/>
  <c r="N6" i="6"/>
  <c r="N44" i="6"/>
  <c r="N37" i="6"/>
  <c r="N43" i="6"/>
  <c r="N40" i="6"/>
  <c r="N42" i="6"/>
  <c r="N45" i="6"/>
  <c r="N38" i="6"/>
  <c r="N41" i="6"/>
  <c r="N39" i="6"/>
  <c r="N20" i="6"/>
  <c r="N23" i="6"/>
  <c r="N22" i="6"/>
  <c r="N24" i="6"/>
  <c r="N21" i="6"/>
  <c r="N17" i="6"/>
  <c r="N16" i="6"/>
  <c r="N19" i="6"/>
  <c r="N18" i="6"/>
  <c r="N28" i="6"/>
  <c r="N26" i="6"/>
  <c r="N25" i="6"/>
  <c r="N27" i="6"/>
  <c r="N13" i="6"/>
  <c r="N11" i="6"/>
  <c r="N10" i="6"/>
  <c r="N9" i="6"/>
  <c r="N12" i="6"/>
  <c r="N47" i="6"/>
  <c r="N48" i="6"/>
  <c r="N46" i="6"/>
  <c r="N35" i="6"/>
  <c r="N36" i="6"/>
  <c r="N33" i="6"/>
  <c r="N30" i="6"/>
  <c r="N32" i="6"/>
  <c r="N29" i="6"/>
  <c r="N34" i="6"/>
  <c r="N31" i="6"/>
</calcChain>
</file>

<file path=xl/sharedStrings.xml><?xml version="1.0" encoding="utf-8"?>
<sst xmlns="http://schemas.openxmlformats.org/spreadsheetml/2006/main" count="716" uniqueCount="319">
  <si>
    <t>ALAMEDA ARAGUAIA, 3192 - ALPHAVILLE INDUSTRIAL, BARUERI - SP</t>
  </si>
  <si>
    <t>Segunda à Sábado das 10:00 às 22:00; Domingo das 12:00 às 20:00;</t>
  </si>
  <si>
    <t>AV. REGENTE FEIJÓ, 1425 - 2º ANDAR - ANÁLIA FRANCO, SÃO PAULO - SP</t>
  </si>
  <si>
    <t>Segunda à Sábado das 10:00 às 22:00; Domingo das 10:00 às 20:00;</t>
  </si>
  <si>
    <t>R. TOBIAS DE MACEDO JÚNIOR, 114 - SANTO INACIO, CURITIBA - PR</t>
  </si>
  <si>
    <t>Segunda à Sábado das 9:00 às 22:00; Domingo das 10:00 às 20:00;</t>
  </si>
  <si>
    <t>FREEWAY CENTER | AV. DAS AMÉRICAS, 2000 - BARRA DA TIJUCA, RIO DE JANEIRO - RJ</t>
  </si>
  <si>
    <t>Segunda à Sábado das 10:00 às 22:00; Domingo das 12:00 às 21:00;</t>
  </si>
  <si>
    <t>SHOPPING CENTER MINAS | AV. PASTOR ANSELMO SILVESTRE, 1495 - UNIÃO, BELO HORIZONTE - MG</t>
  </si>
  <si>
    <t>Segunda à Sábado das 9:00 às 22:00; Domingo das 9:00 às 20:00;</t>
  </si>
  <si>
    <t>ROD. DOM PEDRO I, S/N - JARDIM DAS PALMEIRAS, CAMPINAS - SP, 13094-901</t>
  </si>
  <si>
    <t>AV GUILHERME CAMPOS, 500 - JARDIM SANTA GENEBRA - CAMPINAS- SP</t>
  </si>
  <si>
    <t>SC-401, 3400 - SACO GRANDE, FLORIANÓPOLIS - SC</t>
  </si>
  <si>
    <t>AV. I, 208 - JARDIM GOIÁS, GOIÂNIA - GO</t>
  </si>
  <si>
    <t>R. XV DE NOVEMBRO, 2805 - GLÓRIA, JOINVILLE - SC</t>
  </si>
  <si>
    <t>Segunda à Sábado das 10:00 às 22:00; Domingo das 14:00 às 20:00;</t>
  </si>
  <si>
    <t>AV NOVE DE JULHO, 1650 - PARQUE DO COLÉGIO, JUNDIAÍ</t>
  </si>
  <si>
    <t>Segunda à Sábado das 9:00 às 21:00; Domingo das 10:00 às 20:00;</t>
  </si>
  <si>
    <t>AV. OTTO BAUMGART, 500 - VILA GUILHERME, SÃO PAULO, SP</t>
  </si>
  <si>
    <t>AV. ME. LEÔNIA MILITO, 2121 - GLEBA PALHANO, LONDRINA - PR</t>
  </si>
  <si>
    <t>AV. PRES. CASTELO BRANCO, 4885 - PTE. PEQUENA, SÃO PAULO - SP</t>
  </si>
  <si>
    <t>AV. VER. NARCISO YAGUE GUIMARÃES, 1000</t>
  </si>
  <si>
    <t>Segunda à Sábado das 9:00 às 22:00; Domingo das 13:00 às 21:00;</t>
  </si>
  <si>
    <t>AV. DQA. DE GOIÁS, 381 - REAL PARQUE, SÃO PAULO - SP</t>
  </si>
  <si>
    <t>AV. DR. NILO PEÇANHA, 2061 - TRÊS FIGUEIRAS, PORTO ALEGRE - RS</t>
  </si>
  <si>
    <t>AV PASTOR MARTIN LUTHER KING JR. - 126 - NOVA AMÉRICA - RJ</t>
  </si>
  <si>
    <t>Segunda à Sábado das 10:00 às 22:00; Domingo das 13:00 às 21:00;</t>
  </si>
  <si>
    <t>AV DOS AUTONOMISTAS - 1828 - INDUSTRIAL AUTONOMISTAS - OSASCO</t>
  </si>
  <si>
    <t>AV. PAULISTA, 854 - BELA VISTA, SÃO PAULO - SP, 01310-913 - TOP CENTER</t>
  </si>
  <si>
    <t>Segunda à Sábado das 9:00 às 21:00; Domingo das 10:00 às 19:00;</t>
  </si>
  <si>
    <t>AV. PRAIA DE BELAS, 1181 - PRAIA DE BELAS, PORTO ALEGRE - RS</t>
  </si>
  <si>
    <t>LITORAL PLAZA SHOPPING | AV. AYRTON SENNA DA SILVA, 1511 - SÍTIO DO CAMPO, PRAIA GRANDE - SP</t>
  </si>
  <si>
    <t>ROD. RAPOSO TAVARES, 6008 - CJ. RESIDENCIAL BUTANTÃ, SÃO PAULO - SP</t>
  </si>
  <si>
    <t>Segunda à Sexta das 10:00 às 22:00; Sábado das 9:00 às 22:00; Domingo das 9:00 às 20:00;</t>
  </si>
  <si>
    <t>AV. PRES. KENNEDY, 1500 - RIBEIRÂNIA, RIBEIRÃO PRETO - SP</t>
  </si>
  <si>
    <t>Segunda à Sábado das 10:00 às 22:00; Domingo das 11:00 às 20:00;</t>
  </si>
  <si>
    <t>AV. PEREIRA BARRETO, 1500 - BAETA NEVES, SÃO BERNARDO DO CAMPO - SP</t>
  </si>
  <si>
    <t>Av. PRES. JUSCELINO K. DE OLIVEIRA, 4201 - RES. ECO VILLAGE I, SÃO JOSÉ DO RIO PRETO - SP</t>
  </si>
  <si>
    <t>R. ANDARAÍ, 400 - JD. SATÉLITE, SÃO JOSÉ DOS CAMPOS - SP, 12230-290</t>
  </si>
  <si>
    <t>Segunda à Sexta das 10:00 às 22:00; Sábado das 9:00 às 22:00; Domingo das 10:00 às 20:00;</t>
  </si>
  <si>
    <t>AV. COMENDADOR PEREIRA INÁCIO, 2480 - JARDIM EMILIA, SOROCABA - SP</t>
  </si>
  <si>
    <t>ROD. BR-116 PISTA LATERAL, 10.000 - JARDIM BOTÂNICO, CURITIBA - PR</t>
  </si>
  <si>
    <t>AV. LUCIANO DAS NEVES, 2418 - DIVINO ESPÍRITO SANTO, VILA VELHA - ES</t>
  </si>
  <si>
    <t>Segunda à Sábado das 10:00 às 22:00; Domingo das 13:00 às 22:00;</t>
  </si>
  <si>
    <t>AV. QUEIROZ FILHO, 1310 - VILA LEOPOLDINA, SÃO PAULO - SP</t>
  </si>
  <si>
    <t>Segunda à Sábado das 9h às 22h; Domingos e Feriados sas 10h às 20h;</t>
  </si>
  <si>
    <t>Loja</t>
  </si>
  <si>
    <t>Telefone</t>
  </si>
  <si>
    <t>Cidade</t>
  </si>
  <si>
    <t>UF</t>
  </si>
  <si>
    <t>Sigla</t>
  </si>
  <si>
    <t>ALPHAVILLE</t>
  </si>
  <si>
    <t>(11) 3181-6795</t>
  </si>
  <si>
    <t>(11) 3181-5218</t>
  </si>
  <si>
    <t>BARIGUI</t>
  </si>
  <si>
    <t>(41) 3180-0237</t>
  </si>
  <si>
    <t>BARRA DA TIJUCA</t>
  </si>
  <si>
    <t>(21) 2018-0468</t>
  </si>
  <si>
    <t>BELO HORIZONTE</t>
  </si>
  <si>
    <t>(31) 3181-0011</t>
  </si>
  <si>
    <t>CAMPINAS</t>
  </si>
  <si>
    <t>(19) 3512-3424</t>
  </si>
  <si>
    <t>DOM PEDRO</t>
  </si>
  <si>
    <t>(19) 2101-3850</t>
  </si>
  <si>
    <t>FLORIANÓPOLIS</t>
  </si>
  <si>
    <t>(48) 3036-0236</t>
  </si>
  <si>
    <t>GOIÂNIA</t>
  </si>
  <si>
    <t>(62) 4053-9558</t>
  </si>
  <si>
    <t>JOINVILLE</t>
  </si>
  <si>
    <t>(47) 4063-9240</t>
  </si>
  <si>
    <t>(11) 2708-8460</t>
  </si>
  <si>
    <t>LAR CENTER</t>
  </si>
  <si>
    <t>(11) 3181-8661</t>
  </si>
  <si>
    <t>LONDRINA</t>
  </si>
  <si>
    <t>(43) 3032-1622</t>
  </si>
  <si>
    <t>(11) 2261-3249</t>
  </si>
  <si>
    <t>MOGI DAS CRUZES</t>
  </si>
  <si>
    <t>(11) 4118-3785</t>
  </si>
  <si>
    <t>MORUMBI</t>
  </si>
  <si>
    <t>(11) 3181-8660</t>
  </si>
  <si>
    <t>NILO</t>
  </si>
  <si>
    <t>(51) 3181-0530</t>
  </si>
  <si>
    <t>NOVA AMÉRICA</t>
  </si>
  <si>
    <t>(21) 3475-5050</t>
  </si>
  <si>
    <t>OSASCO</t>
  </si>
  <si>
    <t>(11) 2711-5999</t>
  </si>
  <si>
    <t>PAULISTA</t>
  </si>
  <si>
    <t>(11) 3181-2954</t>
  </si>
  <si>
    <t>PRAIA DE BELAS</t>
  </si>
  <si>
    <t>(51) 2626-4289</t>
  </si>
  <si>
    <t>PRAIA GRANDE</t>
  </si>
  <si>
    <t>(13) 3513-0937</t>
  </si>
  <si>
    <t>RAPOSO TAVARES</t>
  </si>
  <si>
    <t>(11) 3181-8662</t>
  </si>
  <si>
    <t>RIBEIRÃO PRETO</t>
  </si>
  <si>
    <t>(16) 3515-9494</t>
  </si>
  <si>
    <t>SÃO BERNARDO DO CAMPO</t>
  </si>
  <si>
    <t>(11) 3181-8940</t>
  </si>
  <si>
    <t>SÃO JOSÉ DO RIO PRETO</t>
  </si>
  <si>
    <t>(17) 3520-0025</t>
  </si>
  <si>
    <t>SÃO JOSÉ DOS CAMPOS</t>
  </si>
  <si>
    <t>(12) 3512-7844</t>
  </si>
  <si>
    <t>SOROCABA</t>
  </si>
  <si>
    <t>(15) 3412-3822</t>
  </si>
  <si>
    <t>TORRES</t>
  </si>
  <si>
    <t>(41) 3073-0201</t>
  </si>
  <si>
    <t>VILA VELHA</t>
  </si>
  <si>
    <t>(27) 3180-0117</t>
  </si>
  <si>
    <t>VILLA LOBOS</t>
  </si>
  <si>
    <t>(11) 3181-6796</t>
  </si>
  <si>
    <t>FLORIANOPOLIS</t>
  </si>
  <si>
    <t>GOIANIA</t>
  </si>
  <si>
    <t>JUNDIAI</t>
  </si>
  <si>
    <t>MARGINAL TIETE</t>
  </si>
  <si>
    <t>RIBEIRAO PRETO</t>
  </si>
  <si>
    <t>SAO JOSÉ DOS CAMPOS</t>
  </si>
  <si>
    <t>ANALIA FRANCO</t>
  </si>
  <si>
    <t>Endereco</t>
  </si>
  <si>
    <t>Funcionamento</t>
  </si>
  <si>
    <t>GUSTAVO KUNKEL</t>
  </si>
  <si>
    <t>RAFAEL CARVALHO</t>
  </si>
  <si>
    <t>VINICIUS VIEIRA</t>
  </si>
  <si>
    <t>RENAN BARCKFELD</t>
  </si>
  <si>
    <t>MAIANE PATTO</t>
  </si>
  <si>
    <t>JOSE SARAIVA</t>
  </si>
  <si>
    <t>MICHELE CARVALHO</t>
  </si>
  <si>
    <t>PAULO OUDRAN</t>
  </si>
  <si>
    <t>CHARLES MAURÍCIO</t>
  </si>
  <si>
    <t>GUILHERME SCHMITZ</t>
  </si>
  <si>
    <t>GLEICE GOMES</t>
  </si>
  <si>
    <t>JOAO SCHMITZ</t>
  </si>
  <si>
    <t>JOÃO PEDRO</t>
  </si>
  <si>
    <t>FRANCISCO MARION</t>
  </si>
  <si>
    <t>AUGUSTO CAMACHO</t>
  </si>
  <si>
    <t>BIANCA SANTAREM</t>
  </si>
  <si>
    <t>PAMELLA CARRARO</t>
  </si>
  <si>
    <t>EVELIN DA SILVA</t>
  </si>
  <si>
    <t>ANA CAROLINA DARTORA</t>
  </si>
  <si>
    <t>LANA PUNTEL</t>
  </si>
  <si>
    <t>THERRY VARGAS</t>
  </si>
  <si>
    <t>NATHAN LINETCKY</t>
  </si>
  <si>
    <t>JONATHAS CAMPOS</t>
  </si>
  <si>
    <t>JORGE AMADOR JR</t>
  </si>
  <si>
    <t>DIEGO MARQUES</t>
  </si>
  <si>
    <t>ALESSANDRA CARRIERO</t>
  </si>
  <si>
    <t>MATHEUS PEDERIVA</t>
  </si>
  <si>
    <t>IGOR BITENCOURT</t>
  </si>
  <si>
    <t>PRISCILA MARTINS</t>
  </si>
  <si>
    <t>LUCAS</t>
  </si>
  <si>
    <t>RAFAEL MARQUEZ</t>
  </si>
  <si>
    <t>RAFAEL SOARES</t>
  </si>
  <si>
    <t>MAURICIO ALVES</t>
  </si>
  <si>
    <t>DANILO TOMASI</t>
  </si>
  <si>
    <t>CAROLINA SANTOS</t>
  </si>
  <si>
    <t>JONAS FREITAS</t>
  </si>
  <si>
    <t>RAFAEL FLORES</t>
  </si>
  <si>
    <t>RODOLFO SOUZA</t>
  </si>
  <si>
    <t>GABRIEL BEHS PINHEIO</t>
  </si>
  <si>
    <t>BRUNO SAVI</t>
  </si>
  <si>
    <t>ROBERTA BORBA</t>
  </si>
  <si>
    <t>LIMPEZA</t>
  </si>
  <si>
    <t>VANESSA CAVALCANTI</t>
  </si>
  <si>
    <t>LIMPEZA ADICIONAL</t>
  </si>
  <si>
    <t>EZEQUIEL INÁCIO</t>
  </si>
  <si>
    <t>VIGILANTE</t>
  </si>
  <si>
    <t>ANDRIK PERES</t>
  </si>
  <si>
    <t>VIGILANTE ADICIONAL</t>
  </si>
  <si>
    <t>CONTROLADOR</t>
  </si>
  <si>
    <t>CONTROLADOR ADICIONAL</t>
  </si>
  <si>
    <t>BARUEIRI</t>
  </si>
  <si>
    <t>SP</t>
  </si>
  <si>
    <t>PR</t>
  </si>
  <si>
    <t>RJ</t>
  </si>
  <si>
    <t>MG</t>
  </si>
  <si>
    <t>SC</t>
  </si>
  <si>
    <t>GO</t>
  </si>
  <si>
    <t>RS</t>
  </si>
  <si>
    <t>ES</t>
  </si>
  <si>
    <t>SÃO PAULO</t>
  </si>
  <si>
    <t>CURITIBA</t>
  </si>
  <si>
    <t>RIO DE JANEIRO</t>
  </si>
  <si>
    <t>PORTO ALEGRE</t>
  </si>
  <si>
    <t>JUNDIÁI</t>
  </si>
  <si>
    <t>PRIA GRANDE</t>
  </si>
  <si>
    <t>SP-ALPHA</t>
  </si>
  <si>
    <t>SP-ANFRA</t>
  </si>
  <si>
    <t>PR-BARIG</t>
  </si>
  <si>
    <t>RJ-BARRA</t>
  </si>
  <si>
    <t>SP-PEDRO</t>
  </si>
  <si>
    <t>SP-CAMPS</t>
  </si>
  <si>
    <t>NG-BELOH</t>
  </si>
  <si>
    <t>SC-FLORI</t>
  </si>
  <si>
    <t>GO-GOIAN</t>
  </si>
  <si>
    <t>SC-JOINV</t>
  </si>
  <si>
    <t>SP-JUNDIA</t>
  </si>
  <si>
    <t>SP-LARCE</t>
  </si>
  <si>
    <t>PR-LONDR</t>
  </si>
  <si>
    <t>SP-MGNTT</t>
  </si>
  <si>
    <t>SP-MOGIC</t>
  </si>
  <si>
    <t>SP-MORUM</t>
  </si>
  <si>
    <t>RS-NILO1</t>
  </si>
  <si>
    <t>RJ-NOVAM</t>
  </si>
  <si>
    <t>SP-OSASCO</t>
  </si>
  <si>
    <t>SP-PLITA</t>
  </si>
  <si>
    <t>RS-BELAS</t>
  </si>
  <si>
    <t>SP-PGRAD</t>
  </si>
  <si>
    <t>SP-RPTAV</t>
  </si>
  <si>
    <t>SP-RBPRT</t>
  </si>
  <si>
    <t>SP-SBCMP</t>
  </si>
  <si>
    <t>SP-SJRPT</t>
  </si>
  <si>
    <t>SP-SJCMP</t>
  </si>
  <si>
    <t>SP-SOROC</t>
  </si>
  <si>
    <t>PR-TORRES</t>
  </si>
  <si>
    <t>ES-VELHA</t>
  </si>
  <si>
    <t>SP-LOBOS</t>
  </si>
  <si>
    <t>Diretor</t>
  </si>
  <si>
    <t>Sigla Loja</t>
  </si>
  <si>
    <t>Lojas</t>
  </si>
  <si>
    <t>Andares</t>
  </si>
  <si>
    <t>Andar</t>
  </si>
  <si>
    <t>Descrição</t>
  </si>
  <si>
    <t>Térreo</t>
  </si>
  <si>
    <t>1º andar</t>
  </si>
  <si>
    <t>2º andar</t>
  </si>
  <si>
    <t>Zona</t>
  </si>
  <si>
    <t>Check</t>
  </si>
  <si>
    <t>Zona 01</t>
  </si>
  <si>
    <t>Zona 03</t>
  </si>
  <si>
    <t>Zona 04</t>
  </si>
  <si>
    <t>Zona 02</t>
  </si>
  <si>
    <t>Zonas</t>
  </si>
  <si>
    <t>Tipo Universo</t>
  </si>
  <si>
    <t>Área de Venda</t>
  </si>
  <si>
    <t>Área Comum</t>
  </si>
  <si>
    <t>Funcionários</t>
  </si>
  <si>
    <t>Pessoas</t>
  </si>
  <si>
    <t>Tipo</t>
  </si>
  <si>
    <t>Universo</t>
  </si>
  <si>
    <t>Rodas</t>
  </si>
  <si>
    <t>Corrida</t>
  </si>
  <si>
    <t>Coletivos</t>
  </si>
  <si>
    <t>Montanha</t>
  </si>
  <si>
    <t>Fitness</t>
  </si>
  <si>
    <t>Água</t>
  </si>
  <si>
    <t>Raquetes</t>
  </si>
  <si>
    <t>Gerentes</t>
  </si>
  <si>
    <t>Visitantes</t>
  </si>
  <si>
    <t>Serviços</t>
  </si>
  <si>
    <t>Zona 01 - 1º andar</t>
  </si>
  <si>
    <t>Zona 02 - 1º andar</t>
  </si>
  <si>
    <t>Zona 03 - 1º andar</t>
  </si>
  <si>
    <t>Zona 04 - 1º andar</t>
  </si>
  <si>
    <t>Todos</t>
  </si>
  <si>
    <t>Zonas e Andares</t>
  </si>
  <si>
    <t>Universos</t>
  </si>
  <si>
    <t>ID</t>
  </si>
  <si>
    <t>Email</t>
  </si>
  <si>
    <t>Nome</t>
  </si>
  <si>
    <t>Função</t>
  </si>
  <si>
    <t>Brigadista</t>
  </si>
  <si>
    <t>Vendedor</t>
  </si>
  <si>
    <t>Gerente</t>
  </si>
  <si>
    <t>Chefe</t>
  </si>
  <si>
    <t>Caixa</t>
  </si>
  <si>
    <t>Estoquista</t>
  </si>
  <si>
    <t>Sim</t>
  </si>
  <si>
    <t>Atendimento</t>
  </si>
  <si>
    <t>Serviços Limpeza</t>
  </si>
  <si>
    <t>Serviços Segurança</t>
  </si>
  <si>
    <t>Serviços Manutenção</t>
  </si>
  <si>
    <t>Esta Loja</t>
  </si>
  <si>
    <t>Terceiros</t>
  </si>
  <si>
    <t xml:space="preserve">LUIZ CAIO OTERO </t>
  </si>
  <si>
    <t>Check(Email)</t>
  </si>
  <si>
    <t>Loja - 1º andar</t>
  </si>
  <si>
    <t>Localização</t>
  </si>
  <si>
    <t>Zona/Andar</t>
  </si>
  <si>
    <t>Configurações</t>
  </si>
  <si>
    <t>Funções</t>
  </si>
  <si>
    <t>Check(Função)</t>
  </si>
  <si>
    <t>Check(Localização)</t>
  </si>
  <si>
    <t>VISITANTE 01</t>
  </si>
  <si>
    <t>VISITANTE 02</t>
  </si>
  <si>
    <t>VISITANTE 03</t>
  </si>
  <si>
    <t>VISITANTE 04</t>
  </si>
  <si>
    <t>VISITANTE 05</t>
  </si>
  <si>
    <t>VISITANTE 06</t>
  </si>
  <si>
    <t>Colaboradores</t>
  </si>
  <si>
    <t>SERVIDOR</t>
  </si>
  <si>
    <t>bihospitalar.com.br</t>
  </si>
  <si>
    <t>BANCO DE DADOS</t>
  </si>
  <si>
    <t>USUARIO</t>
  </si>
  <si>
    <t>sa</t>
  </si>
  <si>
    <t>SENHA</t>
  </si>
  <si>
    <t>@Mepm2412</t>
  </si>
  <si>
    <t>Decathlon_Chapeira</t>
  </si>
  <si>
    <t xml:space="preserve">Total </t>
  </si>
  <si>
    <t>Emergencia</t>
  </si>
  <si>
    <t>Emergência</t>
  </si>
  <si>
    <t>Rodas - Zona 01 - 1º andar</t>
  </si>
  <si>
    <t>Corrida - Zona 02 - 1º andar</t>
  </si>
  <si>
    <t>Coletivos - Zona 03 - 1º andar</t>
  </si>
  <si>
    <t>Montanha - Zona 04 - 1º andar</t>
  </si>
  <si>
    <t>Atendimento - Zona 01 - 1º andar</t>
  </si>
  <si>
    <t>Fitness - Zona 04 - 1º andar</t>
  </si>
  <si>
    <t>Água - Zona 02 - 1º andar</t>
  </si>
  <si>
    <t>Gerentes - Loja - 1º andar</t>
  </si>
  <si>
    <t>Raquetes - Zona 03 - 1º andar</t>
  </si>
  <si>
    <t>Serviços - Zona 04 - 1º andar</t>
  </si>
  <si>
    <t>Serviços - Zona 02 - 1º andar</t>
  </si>
  <si>
    <t>Serviços - Zona 01 - 1º andar</t>
  </si>
  <si>
    <t>Visitantes - Loja - 1º andar</t>
  </si>
  <si>
    <t>Status</t>
  </si>
  <si>
    <t>Presente</t>
  </si>
  <si>
    <t>Ausente</t>
  </si>
  <si>
    <t>Ativo</t>
  </si>
  <si>
    <t>Colaboradores atualizados</t>
  </si>
  <si>
    <t>Terceiros atualizados</t>
  </si>
  <si>
    <t>Atualizando Chapeira - visitantes linha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</si>
</sst>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7" tint="-0.499984740745262"/>
      <name val="Calibri"/>
      <family val="2"/>
      <scheme val="minor"/>
    </font>
    <font>
      <sz val="9"/>
      <color rgb="FFFA7D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47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3" borderId="1" xfId="2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2" fillId="3" borderId="0" xfId="2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0" xfId="0" applyNumberForma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NumberFormat="1" applyAlignment="1">
      <alignment horizontal="left" vertical="center"/>
    </xf>
    <xf numFmtId="0" fontId="2" fillId="3" borderId="1" xfId="2" applyAlignment="1">
      <alignment vertical="center"/>
    </xf>
    <xf numFmtId="0" fontId="8" fillId="3" borderId="1" xfId="2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4" fillId="0" borderId="2" xfId="0" applyFont="1" applyBorder="1" applyAlignment="1">
      <alignment horizontal="right" vertical="center"/>
    </xf>
    <xf numFmtId="0" fontId="2" fillId="3" borderId="2" xfId="2" applyBorder="1" applyAlignme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4" fillId="3" borderId="1" xfId="2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0" xfId="0" applyNumberFormat="1" applyFont="1" applyAlignment="1">
      <alignment vertical="center"/>
    </xf>
    <xf numFmtId="0" fontId="15" fillId="0" borderId="0" xfId="0" applyFont="1" applyBorder="1"/>
    <xf numFmtId="0" fontId="5" fillId="4" borderId="3" xfId="0" applyFont="1" applyFill="1" applyBorder="1" applyAlignment="1">
      <alignment vertical="center"/>
    </xf>
    <xf numFmtId="0" fontId="16" fillId="0" borderId="2" xfId="0" applyFont="1" applyBorder="1" applyAlignment="1">
      <alignment horizontal="right" vertical="center"/>
    </xf>
    <xf numFmtId="0" fontId="17" fillId="5" borderId="0" xfId="0" applyFont="1" applyFill="1" applyAlignment="1">
      <alignment horizontal="right" vertical="center"/>
    </xf>
    <xf numFmtId="0" fontId="18" fillId="5" borderId="0" xfId="0" applyFont="1" applyFill="1" applyAlignment="1">
      <alignment horizontal="left" vertical="center"/>
    </xf>
    <xf numFmtId="1" fontId="1" fillId="2" borderId="1" xfId="1" applyNumberFormat="1" applyAlignment="1">
      <alignment horizontal="left" vertical="center"/>
    </xf>
    <xf numFmtId="1" fontId="1" fillId="2" borderId="1" xfId="1" quotePrefix="1" applyNumberForma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3">
    <cellStyle name="Cálculo" xfId="2" builtinId="22"/>
    <cellStyle name="Entrada" xfId="1" builtinId="20"/>
    <cellStyle name="Normal" xfId="0" builtinId="0"/>
  </cellStyles>
  <dxfs count="12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7" tint="-0.499984740745262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7" tint="-0.499984740745262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7" tint="-0.499984740745262"/>
        <name val="Calibri"/>
        <family val="2"/>
        <scheme val="minor"/>
      </font>
      <numFmt numFmtId="0" formatCode="General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7" tint="-0.499984740745262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7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9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733425</xdr:colOff>
      <xdr:row>0</xdr:row>
      <xdr:rowOff>114299</xdr:rowOff>
    </xdr:from>
    <xdr:to>
      <xdr:col>1</xdr:col>
      <xdr:colOff>1485900</xdr:colOff>
      <xdr:row>0</xdr:row>
      <xdr:rowOff>333374</xdr:rowOff>
    </xdr:to>
    <xdr:sp macro="[0]!IMPORTAR_COLABORADORES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D6461926-A329-4DB0-8366-DD01E3C4D196}"/>
            </a:ext>
          </a:extLst>
        </xdr:cNvPr>
        <xdr:cNvSpPr/>
      </xdr:nvSpPr>
      <xdr:spPr>
        <a:xfrm>
          <a:off x="1285875" y="114299"/>
          <a:ext cx="752475" cy="219075"/>
        </a:xfrm>
        <a:prstGeom prst="flowChartAlternateProcess">
          <a:avLst/>
        </a:prstGeom>
        <a:solidFill>
          <a:srgbClr val="0070C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800"/>
            <a:t>Atualizar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0</xdr:row>
      <xdr:rowOff>57150</xdr:rowOff>
    </xdr:from>
    <xdr:to>
      <xdr:col>1</xdr:col>
      <xdr:colOff>1104900</xdr:colOff>
      <xdr:row>0</xdr:row>
      <xdr:rowOff>276225</xdr:rowOff>
    </xdr:to>
    <xdr:sp macro="[0]!IMPORTAR_COLABORADORES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E67EE081-7EE3-47B9-826E-3CD062EC05D5}"/>
            </a:ext>
          </a:extLst>
        </xdr:cNvPr>
        <xdr:cNvSpPr/>
      </xdr:nvSpPr>
      <xdr:spPr>
        <a:xfrm>
          <a:off x="904875" y="57150"/>
          <a:ext cx="752475" cy="219075"/>
        </a:xfrm>
        <a:prstGeom prst="flowChartAlternateProcess">
          <a:avLst/>
        </a:prstGeom>
        <a:solidFill>
          <a:srgbClr val="0070C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800"/>
            <a:t>Atualizar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409575</xdr:colOff>
      <xdr:row>0</xdr:row>
      <xdr:rowOff>66675</xdr:rowOff>
    </xdr:from>
    <xdr:to>
      <xdr:col>1</xdr:col>
      <xdr:colOff>1162050</xdr:colOff>
      <xdr:row>0</xdr:row>
      <xdr:rowOff>285750</xdr:rowOff>
    </xdr:to>
    <xdr:sp macro="[0]!IMPORTAR_COLABORADORES" textlink="">
      <xdr:nvSpPr>
        <xdr:cNvPr id="4" name="Fluxograma: Processo Alternativo 3">
          <a:extLst>
            <a:ext uri="{FF2B5EF4-FFF2-40B4-BE49-F238E27FC236}">
              <a16:creationId xmlns:a16="http://schemas.microsoft.com/office/drawing/2014/main" id="{AC2EE7BF-06D8-4C71-B671-E9B4B61B7C9E}"/>
            </a:ext>
          </a:extLst>
        </xdr:cNvPr>
        <xdr:cNvSpPr/>
      </xdr:nvSpPr>
      <xdr:spPr>
        <a:xfrm>
          <a:off x="962025" y="66675"/>
          <a:ext cx="752475" cy="219075"/>
        </a:xfrm>
        <a:prstGeom prst="flowChartAlternateProcess">
          <a:avLst/>
        </a:prstGeom>
        <a:solidFill>
          <a:srgbClr val="0070C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Atualizar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E176B9-818C-41FB-B5D9-4CD7E7A97A75}" name="Colaboradores" displayName="Colaboradores" ref="A3:R48" totalsRowShown="0" headerRowDxfId="68" dataDxfId="121">
  <autoFilter ref="A3:R48" xr:uid="{D1AE05D8-AAF5-4054-AFF8-3AFB3AB7B193}"/>
  <tableColumns count="18">
    <tableColumn id="1" xr3:uid="{EB86615F-DDF4-49E3-BF6E-C0B23D968FF8}" name="ID" dataDxfId="71">
      <calculatedColumnFormula>"F" &amp;TEXT(ROW(Colaboradores[[#This Row],[Email]])-3,"0000")</calculatedColumnFormula>
    </tableColumn>
    <tableColumn id="2" xr3:uid="{31300DB5-3D03-4FAA-AA86-134D103C6CBA}" name="Email" dataDxfId="120">
      <calculatedColumnFormula>LOWER(SUBSTITUTE(Colaboradores[[#This Row],[Nome]]," ",".")&amp;"@decathlon.com")</calculatedColumnFormula>
    </tableColumn>
    <tableColumn id="9" xr3:uid="{F7E43C22-F2C4-476D-9B96-40660E224E35}" name="Check(Email)" dataDxfId="119">
      <calculatedColumnFormula>IF(COUNTIF(Colaboradores[Email],Colaboradores[[#This Row],[Email]])&gt;1,"Erro Duplicidade","")</calculatedColumnFormula>
    </tableColumn>
    <tableColumn id="3" xr3:uid="{F8CE9172-0DC4-4D73-BB16-13FEAE20B1B9}" name="Nome" dataDxfId="118"/>
    <tableColumn id="4" xr3:uid="{A5389EC2-5CC8-413E-8E56-74811A0AFD7C}" name="Função" dataDxfId="117"/>
    <tableColumn id="16" xr3:uid="{DF5C5B92-481E-4531-8342-8392F7F0C11E}" name="Check(Função)" dataDxfId="116">
      <calculatedColumnFormula>IF(ISERROR(VLOOKUP(Colaboradores[[#This Row],[Função]],Funcoes[],1,0))=TRUE,"Não Cadastrado","")</calculatedColumnFormula>
    </tableColumn>
    <tableColumn id="6" xr3:uid="{0AF1243C-C7DF-43A4-A79B-3D0521A522EC}" name="Telefone" dataDxfId="115"/>
    <tableColumn id="10" xr3:uid="{92C8F831-FA59-43C3-890E-813A33A32C91}" name="Emergencia" dataDxfId="114"/>
    <tableColumn id="7" xr3:uid="{D88BAA37-1450-476C-9BC8-347D0F856262}" name="Brigadista" dataDxfId="113"/>
    <tableColumn id="5" xr3:uid="{58645E1A-9DBE-49E2-A19C-25635A737EF6}" name="Localização" dataDxfId="112"/>
    <tableColumn id="8" xr3:uid="{6DE8C6B1-3504-4615-80E6-39FEFA5C898D}" name="Check(Localização)" dataDxfId="111">
      <calculatedColumnFormula>IF(Colaboradores[[#This Row],[Nome]]="","",IF(ISERROR(VLOOKUP(Colaboradores[[#This Row],[Localização]],Universos[],1,0)) = FALSE,"","Não Cadastrado"))</calculatedColumnFormula>
    </tableColumn>
    <tableColumn id="13" xr3:uid="{FA7360D2-5B06-4394-AE68-159B26042B8B}" name="Universo" dataDxfId="110">
      <calculatedColumnFormula>VLOOKUP(Colaboradores[[#This Row],[Localização]],Universos[],3,0)</calculatedColumnFormula>
    </tableColumn>
    <tableColumn id="12" xr3:uid="{FB76620C-25B7-4EAB-A87E-8DCB87B0052C}" name="Zona" dataDxfId="109">
      <calculatedColumnFormula>VLOOKUP(Colaboradores[[#This Row],[Localização]],Universos[],7,0)</calculatedColumnFormula>
    </tableColumn>
    <tableColumn id="11" xr3:uid="{2CEC3D26-F7C5-46E8-B78D-404C0741005E}" name="Andar" dataDxfId="108">
      <calculatedColumnFormula>VLOOKUP(Colaboradores[[#This Row],[Localização]],Universos[],6,0)</calculatedColumnFormula>
    </tableColumn>
    <tableColumn id="14" xr3:uid="{D5298F52-D727-4FA4-9E24-541DA81E6222}" name="Sigla Loja" dataDxfId="107">
      <calculatedColumnFormula>Esta_Loja_Sigla</calculatedColumnFormula>
    </tableColumn>
    <tableColumn id="15" xr3:uid="{756ABB0A-712D-44C7-9A97-9998B2332265}" name="Loja" dataDxfId="69">
      <calculatedColumnFormula>Esta_Loja</calculatedColumnFormula>
    </tableColumn>
    <tableColumn id="17" xr3:uid="{9FD0E8BB-0BC1-4342-B162-7E227379490D}" name="Status" dataDxfId="36"/>
    <tableColumn id="18" xr3:uid="{E190553D-52BA-43B6-8DF5-7FF26CE1DA6E}" name="Ativo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2545D25-8781-42B4-B210-336754A6BB27}" name="Terceiros" displayName="Terceiros" ref="A3:P9" totalsRowShown="0" headerRowDxfId="53" dataDxfId="52">
  <autoFilter ref="A3:P9" xr:uid="{D1AE05D8-AAF5-4054-AFF8-3AFB3AB7B193}"/>
  <tableColumns count="16">
    <tableColumn id="1" xr3:uid="{BF64C61F-1C2A-48F4-AE75-8AF18CE04ED6}" name="ID" dataDxfId="51">
      <calculatedColumnFormula>"T"&amp;TEXT(ROW(Terceiros[[#This Row],[Nome]])-3,"0000")</calculatedColumnFormula>
    </tableColumn>
    <tableColumn id="3" xr3:uid="{3B36AD91-6516-488F-99BF-0D4833BA1D4B}" name="Nome" dataDxfId="50"/>
    <tableColumn id="4" xr3:uid="{31DCFE28-ED80-4B1C-A518-CD25392BD05E}" name="Função" dataDxfId="49"/>
    <tableColumn id="16" xr3:uid="{CE03A258-2439-422E-9040-913E28795161}" name="Check(Função)" dataDxfId="48">
      <calculatedColumnFormula>IF(ISERROR(VLOOKUP(Terceiros[[#This Row],[Função]],Funcoes[],1,0))=TRUE,"Não Cadastrado","")</calculatedColumnFormula>
    </tableColumn>
    <tableColumn id="6" xr3:uid="{BAA35C64-4E8D-4E3D-9A45-0083207F3515}" name="Telefone" dataDxfId="47"/>
    <tableColumn id="2" xr3:uid="{3CDE4FF7-830F-4AFB-A3D1-CEAE14D47FFA}" name="Emergência" dataDxfId="46"/>
    <tableColumn id="7" xr3:uid="{482CBF8B-5F85-4220-AA5C-954BF07F6FDB}" name="Brigadista" dataDxfId="45"/>
    <tableColumn id="5" xr3:uid="{4E8BE0F0-BF0B-4147-AFF2-4E06A5613F98}" name="Localização" dataDxfId="44"/>
    <tableColumn id="8" xr3:uid="{31624327-678C-480F-98C7-1717719D9005}" name="Check(Localização)" dataDxfId="43">
      <calculatedColumnFormula>IF(Terceiros[[#This Row],[Nome]]="","",IF(ISERROR(VLOOKUP(Terceiros[[#This Row],[Localização]],Universos[],1,0)) = FALSE,"","Não Cadastrado"))</calculatedColumnFormula>
    </tableColumn>
    <tableColumn id="13" xr3:uid="{93E74869-B57A-4C64-BB49-8ED4C73840A2}" name="Universo" dataDxfId="42">
      <calculatedColumnFormula>VLOOKUP(Terceiros[[#This Row],[Localização]],Universos[],3,0)</calculatedColumnFormula>
    </tableColumn>
    <tableColumn id="12" xr3:uid="{1CC3E554-99BC-4B81-A10F-53C63A27D983}" name="Zona" dataDxfId="41">
      <calculatedColumnFormula>VLOOKUP(Terceiros[[#This Row],[Localização]],Universos[],7,0)</calculatedColumnFormula>
    </tableColumn>
    <tableColumn id="11" xr3:uid="{8B7424FF-652C-4003-9674-8044122F6C6C}" name="Andar" dataDxfId="40">
      <calculatedColumnFormula>VLOOKUP(Terceiros[[#This Row],[Localização]],Universos[],6,0)</calculatedColumnFormula>
    </tableColumn>
    <tableColumn id="14" xr3:uid="{4D3FCA43-D7C2-4D6B-BF0E-DE777EDC4C26}" name="Sigla Loja" dataDxfId="39">
      <calculatedColumnFormula>Esta_Loja_Sigla</calculatedColumnFormula>
    </tableColumn>
    <tableColumn id="15" xr3:uid="{CD3899CE-F0AB-4D37-843F-08F8ADFE8C6D}" name="Loja" dataDxfId="38">
      <calculatedColumnFormula>Esta_Loja</calculatedColumnFormula>
    </tableColumn>
    <tableColumn id="9" xr3:uid="{0662E117-557F-4C4B-A17C-032A8868EA76}" name="Status" dataDxfId="35"/>
    <tableColumn id="10" xr3:uid="{E9169F1C-E8A3-4B16-ACE6-F96DE53A7224}" name="Ativo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31D3096-462A-420F-89F5-8F6CE605BDCB}" name="Terceiros12" displayName="Terceiros12" ref="A3:K9" totalsRowShown="0" headerRowDxfId="67" dataDxfId="66">
  <autoFilter ref="A3:K9" xr:uid="{D1AE05D8-AAF5-4054-AFF8-3AFB3AB7B193}"/>
  <tableColumns count="11">
    <tableColumn id="1" xr3:uid="{0CB0F021-13E2-4FA3-9E21-025F93E75E83}" name="ID" dataDxfId="65">
      <calculatedColumnFormula>"V" &amp; TEXT(ROW(Terceiros12[[#This Row],[Nome]])-3,"0000")</calculatedColumnFormula>
    </tableColumn>
    <tableColumn id="3" xr3:uid="{983AABD1-53A1-40E9-AD24-BE17E3DDCBB8}" name="Nome" dataDxfId="64"/>
    <tableColumn id="6" xr3:uid="{99EB3D96-A6A8-4F93-9C43-E0E04EA43665}" name="Telefone" dataDxfId="63"/>
    <tableColumn id="5" xr3:uid="{7D5C043B-E268-459A-A398-38118E126704}" name="Localização" dataDxfId="62"/>
    <tableColumn id="8" xr3:uid="{DCE74644-EB52-4EF9-8865-CA92614DC14A}" name="Check(Localização)" dataDxfId="61">
      <calculatedColumnFormula>IF(Terceiros12[[#This Row],[Nome]]="","",IF(ISERROR(VLOOKUP(Terceiros12[[#This Row],[Localização]],Universos[],1,0)) = FALSE,"","Não Cadastrado"))</calculatedColumnFormula>
    </tableColumn>
    <tableColumn id="13" xr3:uid="{743F98E6-2934-4D8F-B099-D4CAEAFD9B71}" name="Universo" dataDxfId="60">
      <calculatedColumnFormula>VLOOKUP(Terceiros12[[#This Row],[Localização]],Universos[],3,0)</calculatedColumnFormula>
    </tableColumn>
    <tableColumn id="12" xr3:uid="{3E67FB06-696C-4153-8374-71C97AF74471}" name="Zona" dataDxfId="59">
      <calculatedColumnFormula>VLOOKUP(Terceiros12[[#This Row],[Localização]],Universos[],7,0)</calculatedColumnFormula>
    </tableColumn>
    <tableColumn id="11" xr3:uid="{A7CD6DA6-A190-46EF-B177-589433FEA798}" name="Andar" dataDxfId="58">
      <calculatedColumnFormula>VLOOKUP(Terceiros12[[#This Row],[Localização]],Universos[],6,0)</calculatedColumnFormula>
    </tableColumn>
    <tableColumn id="14" xr3:uid="{391709F5-ABF9-4E93-A248-7AC08DC9404E}" name="Sigla Loja" dataDxfId="57">
      <calculatedColumnFormula>Esta_Loja_Sigla</calculatedColumnFormula>
    </tableColumn>
    <tableColumn id="15" xr3:uid="{C3D89E6B-AE4A-4A6A-B516-53C6722811B2}" name="Loja" dataDxfId="56">
      <calculatedColumnFormula>Esta_Loja</calculatedColumnFormula>
    </tableColumn>
    <tableColumn id="2" xr3:uid="{81A277A5-7C00-4A6C-B9E2-E30E3FD07CEC}" name="Status" dataDxfId="5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083CBC-7B5C-40BF-A467-CD41068C44FA}" name="Lojas" displayName="Lojas" ref="A5:H36" totalsRowShown="0" headerRowDxfId="106" dataDxfId="105">
  <autoFilter ref="A5:H36" xr:uid="{AE822E7F-FCEE-40BE-8443-5B8BE4A08130}"/>
  <sortState xmlns:xlrd2="http://schemas.microsoft.com/office/spreadsheetml/2017/richdata2" ref="A6:H36">
    <sortCondition ref="A6:A36"/>
    <sortCondition ref="B6:B36"/>
  </sortState>
  <tableColumns count="8">
    <tableColumn id="1" xr3:uid="{59595E93-B472-4F1C-858D-A040C18EFEE5}" name="Sigla" dataDxfId="104"/>
    <tableColumn id="2" xr3:uid="{E163F673-823F-4D37-A515-33817B73EE24}" name="Loja" dataDxfId="103"/>
    <tableColumn id="3" xr3:uid="{FD1F290A-648C-4B67-A7C8-58C14EF84ADB}" name="Endereco" dataDxfId="102"/>
    <tableColumn id="9" xr3:uid="{C60B384D-6FF9-4100-98CF-22337F29EB37}" name="Cidade" dataDxfId="101"/>
    <tableColumn id="8" xr3:uid="{3E548CF4-A685-468B-8520-311B9526852F}" name="UF" dataDxfId="100"/>
    <tableColumn id="4" xr3:uid="{48443033-F8C1-438D-B4DB-F330E0877629}" name="Telefone" dataDxfId="99"/>
    <tableColumn id="5" xr3:uid="{8A1179F9-D2A9-424D-B02D-1402E219EC0D}" name="Funcionamento" dataDxfId="98"/>
    <tableColumn id="6" xr3:uid="{C809D0EB-0A44-443D-B7E2-60114517524C}" name="Diretor" dataDxfId="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BEC970-00D3-4CBF-B1D5-2CEFBBC4C0AB}" name="Andares" displayName="Andares" ref="A5:A9" totalsRowShown="0" headerRowDxfId="96" dataDxfId="95">
  <autoFilter ref="A5:A9" xr:uid="{4BAD1EB0-20D3-4C83-A926-F4A812A7B046}"/>
  <sortState xmlns:xlrd2="http://schemas.microsoft.com/office/spreadsheetml/2017/richdata2" ref="A6:A9">
    <sortCondition ref="A6"/>
  </sortState>
  <tableColumns count="1">
    <tableColumn id="1" xr3:uid="{F888D0FD-4EE9-496D-ACD6-5B60A362C7EF}" name="Andares" dataDxfId="9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2C8A61-2CB3-4BFF-BEC8-65A58DF944A4}" name="Zonas_Config" displayName="Zonas_Config" ref="I5:L14" totalsRowShown="0" headerRowDxfId="93" dataDxfId="92">
  <autoFilter ref="I5:L14" xr:uid="{B2CEFEF5-846B-409C-8479-C6957176AB6E}"/>
  <tableColumns count="4">
    <tableColumn id="5" xr3:uid="{73165FF0-CAD6-4523-9BDA-3CB62D8A2EB9}" name="Descrição" dataDxfId="91">
      <calculatedColumnFormula>IF(Zonas_Config[[#This Row],[Zona]]="","",Zonas_Config[[#This Row],[Zona]]&amp;" - " &amp;Zonas_Config[[#This Row],[Andar]])</calculatedColumnFormula>
    </tableColumn>
    <tableColumn id="4" xr3:uid="{8B4B7787-3F37-4442-A2D1-7F5B40B55245}" name="Check" dataDxfId="90">
      <calculatedColumnFormula>IF(Zonas_Config[[#This Row],[Zona]]="","",IF(COUNTIF(Zonas_Config[Descrição],Zonas_Config[[#This Row],[Descrição]])&gt;1,"Erro Duplicidade","OK"))</calculatedColumnFormula>
    </tableColumn>
    <tableColumn id="3" xr3:uid="{858F2688-42B1-4C2D-BA28-E34C3DE0027C}" name="Zona" dataDxfId="89"/>
    <tableColumn id="2" xr3:uid="{2D29B712-5882-48A3-85E9-8709683D1B38}" name="Andar" dataDxfId="8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CB81FA-F0EA-49E7-9F1C-EAA5F9A55E77}" name="Universos_Tipos" displayName="Universos_Tipos" ref="E5:E10" totalsRowShown="0" headerRowDxfId="87" dataDxfId="86">
  <autoFilter ref="E5:E10" xr:uid="{D0920105-AD88-4999-B1A5-786DDEE8FF7F}"/>
  <tableColumns count="1">
    <tableColumn id="2" xr3:uid="{D813F1FF-83A4-47C1-A410-757E9942652B}" name="Tipo Universo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5204A4-9E20-45D7-A358-204C3B4094FD}" name="Zonas" displayName="Zonas" ref="C5:C10" totalsRowShown="0" headerRowDxfId="84" dataDxfId="83">
  <autoFilter ref="C5:C10" xr:uid="{E02A1749-A9D1-46A7-B696-B8E4C0A1B4FA}"/>
  <tableColumns count="1">
    <tableColumn id="1" xr3:uid="{FEBB187B-F890-4996-8139-77FF34E96175}" name="Zonas" dataDxfId="8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4D7EE8-A69B-46B2-B4C7-65494FF28872}" name="Universos" displayName="Universos" ref="N5:T19" totalsRowShown="0" headerRowDxfId="81" dataDxfId="80">
  <autoFilter ref="N5:T19" xr:uid="{C7BD99F4-C566-4E2A-9127-08101DB1A077}"/>
  <sortState xmlns:xlrd2="http://schemas.microsoft.com/office/spreadsheetml/2017/richdata2" ref="N6:T19">
    <sortCondition ref="P6:P19"/>
    <sortCondition ref="R6:R19"/>
  </sortState>
  <tableColumns count="7">
    <tableColumn id="1" xr3:uid="{30A5AD99-C49E-4AB1-B253-8082F0524F9F}" name="Descrição" dataDxfId="70">
      <calculatedColumnFormula>IF(Universos[[#This Row],[Universo]]="","",Universos[[#This Row],[Universo]]&amp; " - "  &amp;Universos[[#This Row],[Zona/Andar]])</calculatedColumnFormula>
    </tableColumn>
    <tableColumn id="2" xr3:uid="{BD311363-EA29-4F32-AB1D-ABBE593EE95A}" name="Check" dataDxfId="79">
      <calculatedColumnFormula>IF(Universos[[#This Row],[Universo]]="","",IF(COUNTIF(Universos[Descrição],Universos[[#This Row],[Descrição]])&gt;1,"Erro Duplicidade","OK"))</calculatedColumnFormula>
    </tableColumn>
    <tableColumn id="3" xr3:uid="{BEB5B070-A2F0-4DA2-930F-4E92E10BCDDA}" name="Universo" dataDxfId="78"/>
    <tableColumn id="4" xr3:uid="{5A9EADF1-B885-49D0-A31B-EF9F3E7C51D5}" name="Tipo"/>
    <tableColumn id="5" xr3:uid="{3AE933CA-ACB1-420C-90C6-97F9F9607617}" name="Zona/Andar" dataDxfId="77"/>
    <tableColumn id="6" xr3:uid="{CCC56588-6B6C-42D4-A24F-AEF18DBFC851}" name="Andar" dataDxfId="76">
      <calculatedColumnFormula>VLOOKUP(Universos[[#This Row],[Zona/Andar]],Zonas_Config[],4,0)</calculatedColumnFormula>
    </tableColumn>
    <tableColumn id="7" xr3:uid="{159F02E2-7E5B-4DE7-B6DA-D238BDC2C726}" name="Zona" dataDxfId="75">
      <calculatedColumnFormula>VLOOKUP(Universos[[#This Row],[Zona/Andar]],Zonas_Config[],3,0)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561FEA2-C2B3-4B5A-9E1C-284CDC8A022E}" name="Funcoes" displayName="Funcoes" ref="G5:G13" totalsRowShown="0" headerRowDxfId="74" dataDxfId="73">
  <autoFilter ref="G5:G13" xr:uid="{70487356-5085-47D6-979C-A1596A46A045}"/>
  <sortState xmlns:xlrd2="http://schemas.microsoft.com/office/spreadsheetml/2017/richdata2" ref="G6:G13">
    <sortCondition ref="G6"/>
  </sortState>
  <tableColumns count="1">
    <tableColumn id="1" xr3:uid="{1EA036CE-03BD-459B-9216-CA9A61984868}" name="Função" dataDxfId="7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355B-D911-4453-AEA6-8637BC77978E}">
  <sheetPr codeName="CONFIG"/>
  <dimension ref="A1:C8"/>
  <sheetViews>
    <sheetView showGridLines="0" workbookViewId="0">
      <selection activeCell="B29" sqref="B29"/>
    </sheetView>
  </sheetViews>
  <sheetFormatPr defaultRowHeight="15" x14ac:dyDescent="0.25"/>
  <cols>
    <col min="1" max="1" width="22" customWidth="1"/>
    <col min="2" max="2" width="27.85546875" customWidth="1"/>
  </cols>
  <sheetData>
    <row r="1" spans="1:3" ht="18.75" x14ac:dyDescent="0.25">
      <c r="A1" s="13" t="s">
        <v>217</v>
      </c>
    </row>
    <row r="5" spans="1:3" x14ac:dyDescent="0.25">
      <c r="A5" s="37" t="s">
        <v>288</v>
      </c>
      <c r="B5" s="40" t="s">
        <v>289</v>
      </c>
      <c r="C5" s="40"/>
    </row>
    <row r="6" spans="1:3" x14ac:dyDescent="0.25">
      <c r="A6" s="37" t="s">
        <v>290</v>
      </c>
      <c r="B6" s="40" t="s">
        <v>295</v>
      </c>
      <c r="C6" s="40"/>
    </row>
    <row r="7" spans="1:3" x14ac:dyDescent="0.25">
      <c r="A7" s="37" t="s">
        <v>291</v>
      </c>
      <c r="B7" s="40" t="s">
        <v>292</v>
      </c>
      <c r="C7" s="40"/>
    </row>
    <row r="8" spans="1:3" x14ac:dyDescent="0.25">
      <c r="A8" s="37" t="s">
        <v>293</v>
      </c>
      <c r="B8" s="41" t="s">
        <v>294</v>
      </c>
      <c r="C8" s="41"/>
    </row>
  </sheetData>
  <mergeCells count="4">
    <mergeCell ref="B5:C5"/>
    <mergeCell ref="B6:C6"/>
    <mergeCell ref="B7:C7"/>
    <mergeCell ref="B8:C8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5B90C-305D-45C6-A1D1-FA98EB4E07F2}">
  <sheetPr codeName="COLABORADORES"/>
  <dimension ref="A1:R48"/>
  <sheetViews>
    <sheetView showGridLines="0" tabSelected="1" workbookViewId="0">
      <pane ySplit="3" topLeftCell="A4" activePane="bottomLeft" state="frozen"/>
      <selection pane="bottomLeft"/>
    </sheetView>
  </sheetViews>
  <sheetFormatPr defaultRowHeight="24" customHeight="1" x14ac:dyDescent="0.25"/>
  <cols>
    <col min="1" max="1" width="8.28515625" style="4" customWidth="1"/>
    <col min="2" max="2" width="28.42578125" style="3" customWidth="1"/>
    <col min="3" max="3" width="14.85546875" style="3" bestFit="1" customWidth="1"/>
    <col min="4" max="4" width="24" style="4" bestFit="1" customWidth="1"/>
    <col min="5" max="5" width="11.85546875" style="3" bestFit="1" customWidth="1"/>
    <col min="6" max="6" width="16.7109375" style="17" bestFit="1" customWidth="1"/>
    <col min="7" max="7" width="24.85546875" style="4" customWidth="1"/>
    <col min="8" max="8" width="15.85546875" style="20" bestFit="1" customWidth="1"/>
    <col min="9" max="9" width="14.28515625" style="3" bestFit="1" customWidth="1"/>
    <col min="10" max="10" width="42.85546875" style="4" bestFit="1" customWidth="1"/>
    <col min="11" max="11" width="19" style="4" bestFit="1" customWidth="1"/>
    <col min="12" max="12" width="12.85546875" style="3" bestFit="1" customWidth="1"/>
    <col min="13" max="13" width="9.85546875" style="3" bestFit="1" customWidth="1"/>
    <col min="14" max="14" width="10.85546875" style="4" bestFit="1" customWidth="1"/>
    <col min="15" max="15" width="13.7109375" style="3" bestFit="1" customWidth="1"/>
    <col min="16" max="16" width="32.140625" style="3" customWidth="1"/>
    <col min="17" max="17" width="11.5703125" style="3" customWidth="1"/>
    <col min="18" max="18" width="11" style="3" bestFit="1" customWidth="1"/>
    <col min="19" max="16384" width="9.140625" style="3"/>
  </cols>
  <sheetData>
    <row r="1" spans="1:18" ht="34.5" customHeight="1" x14ac:dyDescent="0.25">
      <c r="A1" s="23" t="s">
        <v>287</v>
      </c>
      <c r="C1" s="38" t="s">
        <v>296</v>
      </c>
      <c r="D1" s="39">
        <f>COUNTA(Colaboradores[ID])</f>
        <v>45</v>
      </c>
    </row>
    <row r="2" spans="1:18" ht="15.75" customHeight="1" x14ac:dyDescent="0.25">
      <c r="A2" s="3" t="s">
        <v>316</v>
      </c>
      <c r="D2" s="3"/>
      <c r="F2" s="3"/>
      <c r="G2" s="3"/>
      <c r="H2" s="3"/>
      <c r="J2" s="3"/>
      <c r="K2" s="3"/>
      <c r="N2" s="3"/>
    </row>
    <row r="3" spans="1:18" s="4" customFormat="1" ht="24" customHeight="1" x14ac:dyDescent="0.25">
      <c r="A3" s="5" t="s">
        <v>255</v>
      </c>
      <c r="B3" s="4" t="s">
        <v>256</v>
      </c>
      <c r="C3" s="16" t="s">
        <v>273</v>
      </c>
      <c r="D3" s="4" t="s">
        <v>257</v>
      </c>
      <c r="E3" s="4" t="s">
        <v>258</v>
      </c>
      <c r="F3" s="30" t="s">
        <v>279</v>
      </c>
      <c r="G3" s="4" t="s">
        <v>47</v>
      </c>
      <c r="H3" s="4" t="s">
        <v>297</v>
      </c>
      <c r="I3" s="4" t="s">
        <v>259</v>
      </c>
      <c r="J3" s="4" t="s">
        <v>275</v>
      </c>
      <c r="K3" s="16" t="s">
        <v>280</v>
      </c>
      <c r="L3" s="5" t="s">
        <v>237</v>
      </c>
      <c r="M3" s="5" t="s">
        <v>224</v>
      </c>
      <c r="N3" s="5" t="s">
        <v>219</v>
      </c>
      <c r="O3" s="5" t="s">
        <v>216</v>
      </c>
      <c r="P3" s="5" t="s">
        <v>46</v>
      </c>
      <c r="Q3" s="46" t="s">
        <v>312</v>
      </c>
      <c r="R3" s="46" t="s">
        <v>315</v>
      </c>
    </row>
    <row r="4" spans="1:18" ht="24" customHeight="1" x14ac:dyDescent="0.25">
      <c r="A4" s="32" t="str">
        <f>"F" &amp;TEXT(ROW(Colaboradores[[#This Row],[Email]])-3,"0000")</f>
        <v>F0001</v>
      </c>
      <c r="B4" s="1" t="str">
        <f>LOWER(SUBSTITUTE(Colaboradores[[#This Row],[Nome]]," ",".")&amp;"@decathlon.com")</f>
        <v>gustavo.kunkel@decathlon.com</v>
      </c>
      <c r="C4" s="17" t="str">
        <f>IF(COUNTIF(Colaboradores[Email],Colaboradores[[#This Row],[Email]])&gt;1,"Erro Duplicidade","")</f>
        <v/>
      </c>
      <c r="D4" s="3" t="s">
        <v>119</v>
      </c>
      <c r="E4" s="3" t="s">
        <v>260</v>
      </c>
      <c r="F4" s="17" t="str">
        <f>IF(ISERROR(VLOOKUP(Colaboradores[[#This Row],[Função]],Funcoes[],1,0))=TRUE,"Não Cadastrado","")</f>
        <v/>
      </c>
      <c r="G4" s="1"/>
      <c r="H4" s="17"/>
      <c r="I4" s="4" t="s">
        <v>265</v>
      </c>
      <c r="J4" s="3" t="s">
        <v>299</v>
      </c>
      <c r="K4" s="27" t="str">
        <f>IF(Colaboradores[[#This Row],[Nome]]="","",IF(ISERROR(VLOOKUP(Colaboradores[[#This Row],[Localização]],Universos[],1,0)) = FALSE,"","Não Cadastrado"))</f>
        <v/>
      </c>
      <c r="L4" s="28" t="str">
        <f>VLOOKUP(Colaboradores[[#This Row],[Localização]],Universos[],3,0)</f>
        <v>Rodas</v>
      </c>
      <c r="M4" s="29" t="str">
        <f>VLOOKUP(Colaboradores[[#This Row],[Localização]],Universos[],7,0)</f>
        <v>Zona 01</v>
      </c>
      <c r="N4" s="29" t="str">
        <f>VLOOKUP(Colaboradores[[#This Row],[Localização]],Universos[],6,0)</f>
        <v>1º andar</v>
      </c>
      <c r="O4" s="29" t="str">
        <f t="shared" ref="O4:O48" si="0">Esta_Loja_Sigla</f>
        <v>RS-BELAS</v>
      </c>
      <c r="P4" s="28" t="str">
        <f t="shared" ref="P4:P48" si="1">Esta_Loja</f>
        <v>PRAIA DE BELAS</v>
      </c>
      <c r="Q4" s="45" t="s">
        <v>314</v>
      </c>
      <c r="R4" s="4" t="s">
        <v>265</v>
      </c>
    </row>
    <row r="5" spans="1:18" ht="24" customHeight="1" x14ac:dyDescent="0.25">
      <c r="A5" s="32" t="str">
        <f>"F" &amp;TEXT(ROW(Colaboradores[[#This Row],[Email]])-3,"0000")</f>
        <v>F0002</v>
      </c>
      <c r="B5" s="1" t="str">
        <f>LOWER(SUBSTITUTE(Colaboradores[[#This Row],[Nome]]," ",".")&amp;"@decathlon.com")</f>
        <v>luiz.caio.otero.@decathlon.com</v>
      </c>
      <c r="C5" s="17" t="str">
        <f>IF(COUNTIF(Colaboradores[Email],Colaboradores[[#This Row],[Email]])&gt;1,"Erro Duplicidade","")</f>
        <v/>
      </c>
      <c r="D5" s="3" t="s">
        <v>272</v>
      </c>
      <c r="E5" s="3" t="s">
        <v>260</v>
      </c>
      <c r="F5" s="17" t="str">
        <f>IF(ISERROR(VLOOKUP(Colaboradores[[#This Row],[Função]],Funcoes[],1,0))=TRUE,"Não Cadastrado","")</f>
        <v/>
      </c>
      <c r="G5" s="1"/>
      <c r="H5" s="17"/>
      <c r="I5" s="4" t="s">
        <v>265</v>
      </c>
      <c r="J5" s="3" t="s">
        <v>299</v>
      </c>
      <c r="K5" s="27" t="str">
        <f>IF(Colaboradores[[#This Row],[Nome]]="","",IF(ISERROR(VLOOKUP(Colaboradores[[#This Row],[Localização]],Universos[],1,0)) = FALSE,"","Não Cadastrado"))</f>
        <v/>
      </c>
      <c r="L5" s="28" t="str">
        <f>VLOOKUP(Colaboradores[[#This Row],[Localização]],Universos[],3,0)</f>
        <v>Rodas</v>
      </c>
      <c r="M5" s="29" t="str">
        <f>VLOOKUP(Colaboradores[[#This Row],[Localização]],Universos[],7,0)</f>
        <v>Zona 01</v>
      </c>
      <c r="N5" s="29" t="str">
        <f>VLOOKUP(Colaboradores[[#This Row],[Localização]],Universos[],6,0)</f>
        <v>1º andar</v>
      </c>
      <c r="O5" s="29" t="str">
        <f t="shared" si="0"/>
        <v>RS-BELAS</v>
      </c>
      <c r="P5" s="28" t="str">
        <f t="shared" si="1"/>
        <v>PRAIA DE BELAS</v>
      </c>
      <c r="Q5" s="45" t="s">
        <v>313</v>
      </c>
      <c r="R5" s="4" t="s">
        <v>265</v>
      </c>
    </row>
    <row r="6" spans="1:18" ht="24" customHeight="1" x14ac:dyDescent="0.25">
      <c r="A6" s="32" t="str">
        <f>"F" &amp;TEXT(ROW(Colaboradores[[#This Row],[Email]])-3,"0000")</f>
        <v>F0003</v>
      </c>
      <c r="B6" s="1" t="str">
        <f>LOWER(SUBSTITUTE(Colaboradores[[#This Row],[Nome]]," ",".")&amp;"@decathlon.com")</f>
        <v>maiane.patto@decathlon.com</v>
      </c>
      <c r="C6" s="17" t="str">
        <f>IF(COUNTIF(Colaboradores[Email],Colaboradores[[#This Row],[Email]])&gt;1,"Erro Duplicidade","")</f>
        <v/>
      </c>
      <c r="D6" s="3" t="s">
        <v>123</v>
      </c>
      <c r="E6" s="3" t="s">
        <v>262</v>
      </c>
      <c r="F6" s="17" t="str">
        <f>IF(ISERROR(VLOOKUP(Colaboradores[[#This Row],[Função]],Funcoes[],1,0))=TRUE,"Não Cadastrado","")</f>
        <v/>
      </c>
      <c r="G6" s="1"/>
      <c r="H6" s="17"/>
      <c r="I6" s="4" t="s">
        <v>265</v>
      </c>
      <c r="J6" s="3" t="s">
        <v>299</v>
      </c>
      <c r="K6" s="27" t="str">
        <f>IF(Colaboradores[[#This Row],[Nome]]="","",IF(ISERROR(VLOOKUP(Colaboradores[[#This Row],[Localização]],Universos[],1,0)) = FALSE,"","Não Cadastrado"))</f>
        <v/>
      </c>
      <c r="L6" s="28" t="str">
        <f>VLOOKUP(Colaboradores[[#This Row],[Localização]],Universos[],3,0)</f>
        <v>Rodas</v>
      </c>
      <c r="M6" s="29" t="str">
        <f>VLOOKUP(Colaboradores[[#This Row],[Localização]],Universos[],7,0)</f>
        <v>Zona 01</v>
      </c>
      <c r="N6" s="29" t="str">
        <f>VLOOKUP(Colaboradores[[#This Row],[Localização]],Universos[],6,0)</f>
        <v>1º andar</v>
      </c>
      <c r="O6" s="29" t="str">
        <f t="shared" si="0"/>
        <v>RS-BELAS</v>
      </c>
      <c r="P6" s="28" t="str">
        <f t="shared" si="1"/>
        <v>PRAIA DE BELAS</v>
      </c>
      <c r="Q6" s="45" t="s">
        <v>314</v>
      </c>
      <c r="R6" s="4" t="s">
        <v>265</v>
      </c>
    </row>
    <row r="7" spans="1:18" ht="24" customHeight="1" x14ac:dyDescent="0.25">
      <c r="A7" s="32" t="str">
        <f>"F" &amp;TEXT(ROW(Colaboradores[[#This Row],[Email]])-3,"0000")</f>
        <v>F0004</v>
      </c>
      <c r="B7" s="1" t="str">
        <f>LOWER(SUBSTITUTE(Colaboradores[[#This Row],[Nome]]," ",".")&amp;"@decathlon.com")</f>
        <v>paulo.oudran@decathlon.com</v>
      </c>
      <c r="C7" s="17" t="str">
        <f>IF(COUNTIF(Colaboradores[Email],Colaboradores[[#This Row],[Email]])&gt;1,"Erro Duplicidade","")</f>
        <v/>
      </c>
      <c r="D7" s="3" t="s">
        <v>126</v>
      </c>
      <c r="E7" s="3" t="s">
        <v>264</v>
      </c>
      <c r="F7" s="17" t="str">
        <f>IF(ISERROR(VLOOKUP(Colaboradores[[#This Row],[Função]],Funcoes[],1,0))=TRUE,"Não Cadastrado","")</f>
        <v/>
      </c>
      <c r="G7" s="1"/>
      <c r="H7" s="17"/>
      <c r="I7" s="4" t="s">
        <v>265</v>
      </c>
      <c r="J7" s="3" t="s">
        <v>299</v>
      </c>
      <c r="K7" s="27" t="str">
        <f>IF(Colaboradores[[#This Row],[Nome]]="","",IF(ISERROR(VLOOKUP(Colaboradores[[#This Row],[Localização]],Universos[],1,0)) = FALSE,"","Não Cadastrado"))</f>
        <v/>
      </c>
      <c r="L7" s="28" t="str">
        <f>VLOOKUP(Colaboradores[[#This Row],[Localização]],Universos[],3,0)</f>
        <v>Rodas</v>
      </c>
      <c r="M7" s="29" t="str">
        <f>VLOOKUP(Colaboradores[[#This Row],[Localização]],Universos[],7,0)</f>
        <v>Zona 01</v>
      </c>
      <c r="N7" s="29" t="str">
        <f>VLOOKUP(Colaboradores[[#This Row],[Localização]],Universos[],6,0)</f>
        <v>1º andar</v>
      </c>
      <c r="O7" s="29" t="str">
        <f t="shared" si="0"/>
        <v>RS-BELAS</v>
      </c>
      <c r="P7" s="28" t="str">
        <f t="shared" si="1"/>
        <v>PRAIA DE BELAS</v>
      </c>
      <c r="Q7" s="45" t="s">
        <v>313</v>
      </c>
      <c r="R7" s="4" t="s">
        <v>265</v>
      </c>
    </row>
    <row r="8" spans="1:18" ht="24" customHeight="1" x14ac:dyDescent="0.25">
      <c r="A8" s="32" t="str">
        <f>"F" &amp;TEXT(ROW(Colaboradores[[#This Row],[Email]])-3,"0000")</f>
        <v>F0005</v>
      </c>
      <c r="B8" s="1" t="str">
        <f>LOWER(SUBSTITUTE(Colaboradores[[#This Row],[Nome]]," ",".")&amp;"@decathlon.com")</f>
        <v>guilherme.schmitz@decathlon.com</v>
      </c>
      <c r="C8" s="17" t="str">
        <f>IF(COUNTIF(Colaboradores[Email],Colaboradores[[#This Row],[Email]])&gt;1,"Erro Duplicidade","")</f>
        <v/>
      </c>
      <c r="D8" s="3" t="s">
        <v>128</v>
      </c>
      <c r="E8" s="3" t="s">
        <v>260</v>
      </c>
      <c r="F8" s="17" t="str">
        <f>IF(ISERROR(VLOOKUP(Colaboradores[[#This Row],[Função]],Funcoes[],1,0))=TRUE,"Não Cadastrado","")</f>
        <v/>
      </c>
      <c r="G8" s="1"/>
      <c r="H8" s="17" t="s">
        <v>265</v>
      </c>
      <c r="I8" s="4" t="s">
        <v>265</v>
      </c>
      <c r="J8" s="3" t="s">
        <v>299</v>
      </c>
      <c r="K8" s="27" t="str">
        <f>IF(Colaboradores[[#This Row],[Nome]]="","",IF(ISERROR(VLOOKUP(Colaboradores[[#This Row],[Localização]],Universos[],1,0)) = FALSE,"","Não Cadastrado"))</f>
        <v/>
      </c>
      <c r="L8" s="28" t="str">
        <f>VLOOKUP(Colaboradores[[#This Row],[Localização]],Universos[],3,0)</f>
        <v>Rodas</v>
      </c>
      <c r="M8" s="29" t="str">
        <f>VLOOKUP(Colaboradores[[#This Row],[Localização]],Universos[],7,0)</f>
        <v>Zona 01</v>
      </c>
      <c r="N8" s="29" t="str">
        <f>VLOOKUP(Colaboradores[[#This Row],[Localização]],Universos[],6,0)</f>
        <v>1º andar</v>
      </c>
      <c r="O8" s="29" t="str">
        <f t="shared" si="0"/>
        <v>RS-BELAS</v>
      </c>
      <c r="P8" s="28" t="str">
        <f t="shared" si="1"/>
        <v>PRAIA DE BELAS</v>
      </c>
      <c r="Q8" s="45" t="s">
        <v>313</v>
      </c>
      <c r="R8" s="4" t="s">
        <v>265</v>
      </c>
    </row>
    <row r="9" spans="1:18" ht="24" customHeight="1" x14ac:dyDescent="0.25">
      <c r="A9" s="32" t="str">
        <f>"F" &amp;TEXT(ROW(Colaboradores[[#This Row],[Email]])-3,"0000")</f>
        <v>F0006</v>
      </c>
      <c r="B9" s="1" t="str">
        <f>LOWER(SUBSTITUTE(Colaboradores[[#This Row],[Nome]]," ",".")&amp;"@decathlon.com")</f>
        <v>rafael.carvalho@decathlon.com</v>
      </c>
      <c r="C9" s="17" t="str">
        <f>IF(COUNTIF(Colaboradores[Email],Colaboradores[[#This Row],[Email]])&gt;1,"Erro Duplicidade","")</f>
        <v/>
      </c>
      <c r="D9" s="3" t="s">
        <v>120</v>
      </c>
      <c r="E9" s="3" t="s">
        <v>260</v>
      </c>
      <c r="F9" s="17" t="str">
        <f>IF(ISERROR(VLOOKUP(Colaboradores[[#This Row],[Função]],Funcoes[],1,0))=TRUE,"Não Cadastrado","")</f>
        <v/>
      </c>
      <c r="G9" s="1"/>
      <c r="H9" s="17"/>
      <c r="I9" s="4" t="s">
        <v>265</v>
      </c>
      <c r="J9" s="3" t="s">
        <v>300</v>
      </c>
      <c r="K9" s="27" t="str">
        <f>IF(Colaboradores[[#This Row],[Nome]]="","",IF(ISERROR(VLOOKUP(Colaboradores[[#This Row],[Localização]],Universos[],1,0)) = FALSE,"","Não Cadastrado"))</f>
        <v/>
      </c>
      <c r="L9" s="28" t="str">
        <f>VLOOKUP(Colaboradores[[#This Row],[Localização]],Universos[],3,0)</f>
        <v>Corrida</v>
      </c>
      <c r="M9" s="29" t="str">
        <f>VLOOKUP(Colaboradores[[#This Row],[Localização]],Universos[],7,0)</f>
        <v>Zona 02</v>
      </c>
      <c r="N9" s="29" t="str">
        <f>VLOOKUP(Colaboradores[[#This Row],[Localização]],Universos[],6,0)</f>
        <v>1º andar</v>
      </c>
      <c r="O9" s="29" t="str">
        <f t="shared" si="0"/>
        <v>RS-BELAS</v>
      </c>
      <c r="P9" s="28" t="str">
        <f t="shared" si="1"/>
        <v>PRAIA DE BELAS</v>
      </c>
      <c r="Q9" s="45" t="s">
        <v>313</v>
      </c>
      <c r="R9" s="4" t="s">
        <v>265</v>
      </c>
    </row>
    <row r="10" spans="1:18" ht="24" customHeight="1" x14ac:dyDescent="0.25">
      <c r="A10" s="32" t="str">
        <f>"F" &amp;TEXT(ROW(Colaboradores[[#This Row],[Email]])-3,"0000")</f>
        <v>F0007</v>
      </c>
      <c r="B10" s="1" t="str">
        <f>LOWER(SUBSTITUTE(Colaboradores[[#This Row],[Nome]]," ",".")&amp;"@decathlon.com")</f>
        <v>renan.barckfeld@decathlon.com</v>
      </c>
      <c r="C10" s="17" t="str">
        <f>IF(COUNTIF(Colaboradores[Email],Colaboradores[[#This Row],[Email]])&gt;1,"Erro Duplicidade","")</f>
        <v/>
      </c>
      <c r="D10" s="3" t="s">
        <v>122</v>
      </c>
      <c r="E10" s="3" t="s">
        <v>260</v>
      </c>
      <c r="F10" s="17" t="str">
        <f>IF(ISERROR(VLOOKUP(Colaboradores[[#This Row],[Função]],Funcoes[],1,0))=TRUE,"Não Cadastrado","")</f>
        <v/>
      </c>
      <c r="G10" s="1"/>
      <c r="H10" s="17"/>
      <c r="I10" s="4" t="s">
        <v>265</v>
      </c>
      <c r="J10" s="3" t="s">
        <v>300</v>
      </c>
      <c r="K10" s="27" t="str">
        <f>IF(Colaboradores[[#This Row],[Nome]]="","",IF(ISERROR(VLOOKUP(Colaboradores[[#This Row],[Localização]],Universos[],1,0)) = FALSE,"","Não Cadastrado"))</f>
        <v/>
      </c>
      <c r="L10" s="28" t="str">
        <f>VLOOKUP(Colaboradores[[#This Row],[Localização]],Universos[],3,0)</f>
        <v>Corrida</v>
      </c>
      <c r="M10" s="29" t="str">
        <f>VLOOKUP(Colaboradores[[#This Row],[Localização]],Universos[],7,0)</f>
        <v>Zona 02</v>
      </c>
      <c r="N10" s="29" t="str">
        <f>VLOOKUP(Colaboradores[[#This Row],[Localização]],Universos[],6,0)</f>
        <v>1º andar</v>
      </c>
      <c r="O10" s="29" t="str">
        <f t="shared" si="0"/>
        <v>RS-BELAS</v>
      </c>
      <c r="P10" s="28" t="str">
        <f t="shared" si="1"/>
        <v>PRAIA DE BELAS</v>
      </c>
      <c r="Q10" s="45" t="s">
        <v>314</v>
      </c>
      <c r="R10" s="4" t="s">
        <v>265</v>
      </c>
    </row>
    <row r="11" spans="1:18" ht="24" customHeight="1" x14ac:dyDescent="0.25">
      <c r="A11" s="32" t="str">
        <f>"F" &amp;TEXT(ROW(Colaboradores[[#This Row],[Email]])-3,"0000")</f>
        <v>F0008</v>
      </c>
      <c r="B11" s="1" t="str">
        <f>LOWER(SUBSTITUTE(Colaboradores[[#This Row],[Nome]]," ",".")&amp;"@decathlon.com")</f>
        <v>jose.saraiva@decathlon.com</v>
      </c>
      <c r="C11" s="17" t="str">
        <f>IF(COUNTIF(Colaboradores[Email],Colaboradores[[#This Row],[Email]])&gt;1,"Erro Duplicidade","")</f>
        <v/>
      </c>
      <c r="D11" s="3" t="s">
        <v>124</v>
      </c>
      <c r="E11" s="3" t="s">
        <v>260</v>
      </c>
      <c r="F11" s="17" t="str">
        <f>IF(ISERROR(VLOOKUP(Colaboradores[[#This Row],[Função]],Funcoes[],1,0))=TRUE,"Não Cadastrado","")</f>
        <v/>
      </c>
      <c r="G11" s="1"/>
      <c r="H11" s="17"/>
      <c r="I11" s="4" t="s">
        <v>265</v>
      </c>
      <c r="J11" s="3" t="s">
        <v>300</v>
      </c>
      <c r="K11" s="27" t="str">
        <f>IF(Colaboradores[[#This Row],[Nome]]="","",IF(ISERROR(VLOOKUP(Colaboradores[[#This Row],[Localização]],Universos[],1,0)) = FALSE,"","Não Cadastrado"))</f>
        <v/>
      </c>
      <c r="L11" s="28" t="str">
        <f>VLOOKUP(Colaboradores[[#This Row],[Localização]],Universos[],3,0)</f>
        <v>Corrida</v>
      </c>
      <c r="M11" s="29" t="str">
        <f>VLOOKUP(Colaboradores[[#This Row],[Localização]],Universos[],7,0)</f>
        <v>Zona 02</v>
      </c>
      <c r="N11" s="29" t="str">
        <f>VLOOKUP(Colaboradores[[#This Row],[Localização]],Universos[],6,0)</f>
        <v>1º andar</v>
      </c>
      <c r="O11" s="29" t="str">
        <f t="shared" si="0"/>
        <v>RS-BELAS</v>
      </c>
      <c r="P11" s="28" t="str">
        <f t="shared" si="1"/>
        <v>PRAIA DE BELAS</v>
      </c>
      <c r="Q11" s="45" t="s">
        <v>313</v>
      </c>
      <c r="R11" s="4" t="s">
        <v>265</v>
      </c>
    </row>
    <row r="12" spans="1:18" ht="24" customHeight="1" x14ac:dyDescent="0.25">
      <c r="A12" s="32" t="str">
        <f>"F" &amp;TEXT(ROW(Colaboradores[[#This Row],[Email]])-3,"0000")</f>
        <v>F0009</v>
      </c>
      <c r="B12" s="1" t="str">
        <f>LOWER(SUBSTITUTE(Colaboradores[[#This Row],[Nome]]," ",".")&amp;"@decathlon.com")</f>
        <v>charles.maurício@decathlon.com</v>
      </c>
      <c r="C12" s="17" t="str">
        <f>IF(COUNTIF(Colaboradores[Email],Colaboradores[[#This Row],[Email]])&gt;1,"Erro Duplicidade","")</f>
        <v/>
      </c>
      <c r="D12" s="3" t="s">
        <v>127</v>
      </c>
      <c r="E12" s="3" t="s">
        <v>260</v>
      </c>
      <c r="F12" s="17" t="str">
        <f>IF(ISERROR(VLOOKUP(Colaboradores[[#This Row],[Função]],Funcoes[],1,0))=TRUE,"Não Cadastrado","")</f>
        <v/>
      </c>
      <c r="G12" s="1"/>
      <c r="H12" s="17"/>
      <c r="I12" s="4" t="s">
        <v>265</v>
      </c>
      <c r="J12" s="3" t="s">
        <v>300</v>
      </c>
      <c r="K12" s="27" t="str">
        <f>IF(Colaboradores[[#This Row],[Nome]]="","",IF(ISERROR(VLOOKUP(Colaboradores[[#This Row],[Localização]],Universos[],1,0)) = FALSE,"","Não Cadastrado"))</f>
        <v/>
      </c>
      <c r="L12" s="28" t="str">
        <f>VLOOKUP(Colaboradores[[#This Row],[Localização]],Universos[],3,0)</f>
        <v>Corrida</v>
      </c>
      <c r="M12" s="29" t="str">
        <f>VLOOKUP(Colaboradores[[#This Row],[Localização]],Universos[],7,0)</f>
        <v>Zona 02</v>
      </c>
      <c r="N12" s="29" t="str">
        <f>VLOOKUP(Colaboradores[[#This Row],[Localização]],Universos[],6,0)</f>
        <v>1º andar</v>
      </c>
      <c r="O12" s="29" t="str">
        <f t="shared" si="0"/>
        <v>RS-BELAS</v>
      </c>
      <c r="P12" s="28" t="str">
        <f t="shared" si="1"/>
        <v>PRAIA DE BELAS</v>
      </c>
      <c r="Q12" s="45" t="s">
        <v>313</v>
      </c>
      <c r="R12" s="4" t="s">
        <v>265</v>
      </c>
    </row>
    <row r="13" spans="1:18" ht="24" customHeight="1" x14ac:dyDescent="0.25">
      <c r="A13" s="32" t="str">
        <f>"F" &amp;TEXT(ROW(Colaboradores[[#This Row],[Email]])-3,"0000")</f>
        <v>F0010</v>
      </c>
      <c r="B13" s="1" t="str">
        <f>LOWER(SUBSTITUTE(Colaboradores[[#This Row],[Nome]]," ",".")&amp;"@decathlon.com")</f>
        <v>gleice.gomes@decathlon.com</v>
      </c>
      <c r="C13" s="17" t="str">
        <f>IF(COUNTIF(Colaboradores[Email],Colaboradores[[#This Row],[Email]])&gt;1,"Erro Duplicidade","")</f>
        <v/>
      </c>
      <c r="D13" s="3" t="s">
        <v>129</v>
      </c>
      <c r="E13" s="3" t="s">
        <v>260</v>
      </c>
      <c r="F13" s="17" t="str">
        <f>IF(ISERROR(VLOOKUP(Colaboradores[[#This Row],[Função]],Funcoes[],1,0))=TRUE,"Não Cadastrado","")</f>
        <v/>
      </c>
      <c r="G13" s="1"/>
      <c r="H13" s="17"/>
      <c r="I13" s="4" t="s">
        <v>265</v>
      </c>
      <c r="J13" s="3" t="s">
        <v>300</v>
      </c>
      <c r="K13" s="27" t="str">
        <f>IF(Colaboradores[[#This Row],[Nome]]="","",IF(ISERROR(VLOOKUP(Colaboradores[[#This Row],[Localização]],Universos[],1,0)) = FALSE,"","Não Cadastrado"))</f>
        <v/>
      </c>
      <c r="L13" s="28" t="str">
        <f>VLOOKUP(Colaboradores[[#This Row],[Localização]],Universos[],3,0)</f>
        <v>Corrida</v>
      </c>
      <c r="M13" s="29" t="str">
        <f>VLOOKUP(Colaboradores[[#This Row],[Localização]],Universos[],7,0)</f>
        <v>Zona 02</v>
      </c>
      <c r="N13" s="29" t="str">
        <f>VLOOKUP(Colaboradores[[#This Row],[Localização]],Universos[],6,0)</f>
        <v>1º andar</v>
      </c>
      <c r="O13" s="29" t="str">
        <f t="shared" si="0"/>
        <v>RS-BELAS</v>
      </c>
      <c r="P13" s="28" t="str">
        <f t="shared" si="1"/>
        <v>PRAIA DE BELAS</v>
      </c>
      <c r="Q13" s="45" t="s">
        <v>313</v>
      </c>
      <c r="R13" s="4" t="s">
        <v>265</v>
      </c>
    </row>
    <row r="14" spans="1:18" ht="24" customHeight="1" x14ac:dyDescent="0.25">
      <c r="A14" s="32" t="str">
        <f>"F" &amp;TEXT(ROW(Colaboradores[[#This Row],[Email]])-3,"0000")</f>
        <v>F0011</v>
      </c>
      <c r="B14" s="1" t="str">
        <f>LOWER(SUBSTITUTE(Colaboradores[[#This Row],[Nome]]," ",".")&amp;"@decathlon.com")</f>
        <v>vinicius.vieira@decathlon.com</v>
      </c>
      <c r="C14" s="17" t="str">
        <f>IF(COUNTIF(Colaboradores[Email],Colaboradores[[#This Row],[Email]])&gt;1,"Erro Duplicidade","")</f>
        <v/>
      </c>
      <c r="D14" s="3" t="s">
        <v>121</v>
      </c>
      <c r="E14" s="3" t="s">
        <v>260</v>
      </c>
      <c r="F14" s="17" t="str">
        <f>IF(ISERROR(VLOOKUP(Colaboradores[[#This Row],[Função]],Funcoes[],1,0))=TRUE,"Não Cadastrado","")</f>
        <v/>
      </c>
      <c r="G14" s="1"/>
      <c r="H14" s="17"/>
      <c r="I14" s="4"/>
      <c r="J14" s="3" t="s">
        <v>301</v>
      </c>
      <c r="K14" s="27" t="str">
        <f>IF(Colaboradores[[#This Row],[Nome]]="","",IF(ISERROR(VLOOKUP(Colaboradores[[#This Row],[Localização]],Universos[],1,0)) = FALSE,"","Não Cadastrado"))</f>
        <v/>
      </c>
      <c r="L14" s="28" t="str">
        <f>VLOOKUP(Colaboradores[[#This Row],[Localização]],Universos[],3,0)</f>
        <v>Coletivos</v>
      </c>
      <c r="M14" s="29" t="str">
        <f>VLOOKUP(Colaboradores[[#This Row],[Localização]],Universos[],7,0)</f>
        <v>Zona 03</v>
      </c>
      <c r="N14" s="29" t="str">
        <f>VLOOKUP(Colaboradores[[#This Row],[Localização]],Universos[],6,0)</f>
        <v>1º andar</v>
      </c>
      <c r="O14" s="29" t="str">
        <f t="shared" si="0"/>
        <v>RS-BELAS</v>
      </c>
      <c r="P14" s="28" t="str">
        <f t="shared" si="1"/>
        <v>PRAIA DE BELAS</v>
      </c>
      <c r="Q14" s="45" t="s">
        <v>313</v>
      </c>
      <c r="R14" s="4" t="s">
        <v>265</v>
      </c>
    </row>
    <row r="15" spans="1:18" ht="24" customHeight="1" x14ac:dyDescent="0.25">
      <c r="A15" s="32" t="str">
        <f>"F" &amp;TEXT(ROW(Colaboradores[[#This Row],[Email]])-3,"0000")</f>
        <v>F0012</v>
      </c>
      <c r="B15" s="1" t="str">
        <f>LOWER(SUBSTITUTE(Colaboradores[[#This Row],[Nome]]," ",".")&amp;"@decathlon.com")</f>
        <v>michele.carvalho@decathlon.com</v>
      </c>
      <c r="C15" s="17" t="str">
        <f>IF(COUNTIF(Colaboradores[Email],Colaboradores[[#This Row],[Email]])&gt;1,"Erro Duplicidade","")</f>
        <v/>
      </c>
      <c r="D15" s="3" t="s">
        <v>125</v>
      </c>
      <c r="E15" s="3" t="s">
        <v>260</v>
      </c>
      <c r="F15" s="17" t="str">
        <f>IF(ISERROR(VLOOKUP(Colaboradores[[#This Row],[Função]],Funcoes[],1,0))=TRUE,"Não Cadastrado","")</f>
        <v/>
      </c>
      <c r="G15" s="1"/>
      <c r="H15" s="17"/>
      <c r="I15" s="4"/>
      <c r="J15" s="3" t="s">
        <v>301</v>
      </c>
      <c r="K15" s="27" t="str">
        <f>IF(Colaboradores[[#This Row],[Nome]]="","",IF(ISERROR(VLOOKUP(Colaboradores[[#This Row],[Localização]],Universos[],1,0)) = FALSE,"","Não Cadastrado"))</f>
        <v/>
      </c>
      <c r="L15" s="28" t="str">
        <f>VLOOKUP(Colaboradores[[#This Row],[Localização]],Universos[],3,0)</f>
        <v>Coletivos</v>
      </c>
      <c r="M15" s="29" t="str">
        <f>VLOOKUP(Colaboradores[[#This Row],[Localização]],Universos[],7,0)</f>
        <v>Zona 03</v>
      </c>
      <c r="N15" s="29" t="str">
        <f>VLOOKUP(Colaboradores[[#This Row],[Localização]],Universos[],6,0)</f>
        <v>1º andar</v>
      </c>
      <c r="O15" s="29" t="str">
        <f t="shared" si="0"/>
        <v>RS-BELAS</v>
      </c>
      <c r="P15" s="28" t="str">
        <f t="shared" si="1"/>
        <v>PRAIA DE BELAS</v>
      </c>
      <c r="Q15" s="45" t="s">
        <v>313</v>
      </c>
      <c r="R15" s="4" t="s">
        <v>265</v>
      </c>
    </row>
    <row r="16" spans="1:18" ht="24" customHeight="1" x14ac:dyDescent="0.25">
      <c r="A16" s="32" t="str">
        <f>"F" &amp;TEXT(ROW(Colaboradores[[#This Row],[Email]])-3,"0000")</f>
        <v>F0013</v>
      </c>
      <c r="B16" s="1" t="str">
        <f>LOWER(SUBSTITUTE(Colaboradores[[#This Row],[Nome]]," ",".")&amp;"@decathlon.com")</f>
        <v>joao.schmitz@decathlon.com</v>
      </c>
      <c r="C16" s="17" t="str">
        <f>IF(COUNTIF(Colaboradores[Email],Colaboradores[[#This Row],[Email]])&gt;1,"Erro Duplicidade","")</f>
        <v/>
      </c>
      <c r="D16" s="3" t="s">
        <v>130</v>
      </c>
      <c r="E16" s="3" t="s">
        <v>262</v>
      </c>
      <c r="F16" s="17" t="str">
        <f>IF(ISERROR(VLOOKUP(Colaboradores[[#This Row],[Função]],Funcoes[],1,0))=TRUE,"Não Cadastrado","")</f>
        <v/>
      </c>
      <c r="G16" s="1"/>
      <c r="H16" s="17"/>
      <c r="I16" s="4" t="s">
        <v>265</v>
      </c>
      <c r="J16" s="3" t="s">
        <v>302</v>
      </c>
      <c r="K16" s="27" t="str">
        <f>IF(Colaboradores[[#This Row],[Nome]]="","",IF(ISERROR(VLOOKUP(Colaboradores[[#This Row],[Localização]],Universos[],1,0)) = FALSE,"","Não Cadastrado"))</f>
        <v/>
      </c>
      <c r="L16" s="28" t="str">
        <f>VLOOKUP(Colaboradores[[#This Row],[Localização]],Universos[],3,0)</f>
        <v>Montanha</v>
      </c>
      <c r="M16" s="29" t="str">
        <f>VLOOKUP(Colaboradores[[#This Row],[Localização]],Universos[],7,0)</f>
        <v>Zona 04</v>
      </c>
      <c r="N16" s="29" t="str">
        <f>VLOOKUP(Colaboradores[[#This Row],[Localização]],Universos[],6,0)</f>
        <v>1º andar</v>
      </c>
      <c r="O16" s="29" t="str">
        <f t="shared" si="0"/>
        <v>RS-BELAS</v>
      </c>
      <c r="P16" s="28" t="str">
        <f t="shared" si="1"/>
        <v>PRAIA DE BELAS</v>
      </c>
      <c r="Q16" s="45" t="s">
        <v>314</v>
      </c>
      <c r="R16" s="4" t="s">
        <v>265</v>
      </c>
    </row>
    <row r="17" spans="1:18" ht="24" customHeight="1" x14ac:dyDescent="0.25">
      <c r="A17" s="32" t="str">
        <f>"F" &amp;TEXT(ROW(Colaboradores[[#This Row],[Email]])-3,"0000")</f>
        <v>F0014</v>
      </c>
      <c r="B17" s="1" t="str">
        <f>LOWER(SUBSTITUTE(Colaboradores[[#This Row],[Nome]]," ",".")&amp;"@decathlon.com")</f>
        <v>francisco.marion@decathlon.com</v>
      </c>
      <c r="C17" s="17" t="str">
        <f>IF(COUNTIF(Colaboradores[Email],Colaboradores[[#This Row],[Email]])&gt;1,"Erro Duplicidade","")</f>
        <v/>
      </c>
      <c r="D17" s="3" t="s">
        <v>132</v>
      </c>
      <c r="E17" s="3" t="s">
        <v>260</v>
      </c>
      <c r="F17" s="17" t="str">
        <f>IF(ISERROR(VLOOKUP(Colaboradores[[#This Row],[Função]],Funcoes[],1,0))=TRUE,"Não Cadastrado","")</f>
        <v/>
      </c>
      <c r="G17" s="1"/>
      <c r="H17" s="17"/>
      <c r="I17" s="4" t="s">
        <v>265</v>
      </c>
      <c r="J17" s="3" t="s">
        <v>302</v>
      </c>
      <c r="K17" s="27" t="str">
        <f>IF(Colaboradores[[#This Row],[Nome]]="","",IF(ISERROR(VLOOKUP(Colaboradores[[#This Row],[Localização]],Universos[],1,0)) = FALSE,"","Não Cadastrado"))</f>
        <v/>
      </c>
      <c r="L17" s="28" t="str">
        <f>VLOOKUP(Colaboradores[[#This Row],[Localização]],Universos[],3,0)</f>
        <v>Montanha</v>
      </c>
      <c r="M17" s="29" t="str">
        <f>VLOOKUP(Colaboradores[[#This Row],[Localização]],Universos[],7,0)</f>
        <v>Zona 04</v>
      </c>
      <c r="N17" s="29" t="str">
        <f>VLOOKUP(Colaboradores[[#This Row],[Localização]],Universos[],6,0)</f>
        <v>1º andar</v>
      </c>
      <c r="O17" s="29" t="str">
        <f t="shared" si="0"/>
        <v>RS-BELAS</v>
      </c>
      <c r="P17" s="28" t="str">
        <f t="shared" si="1"/>
        <v>PRAIA DE BELAS</v>
      </c>
      <c r="Q17" s="45" t="s">
        <v>313</v>
      </c>
      <c r="R17" s="4" t="s">
        <v>265</v>
      </c>
    </row>
    <row r="18" spans="1:18" ht="24" customHeight="1" x14ac:dyDescent="0.25">
      <c r="A18" s="32" t="str">
        <f>"F" &amp;TEXT(ROW(Colaboradores[[#This Row],[Email]])-3,"0000")</f>
        <v>F0015</v>
      </c>
      <c r="B18" s="1" t="str">
        <f>LOWER(SUBSTITUTE(Colaboradores[[#This Row],[Nome]]," ",".")&amp;"@decathlon.com")</f>
        <v>augusto.camacho@decathlon.com</v>
      </c>
      <c r="C18" s="17" t="str">
        <f>IF(COUNTIF(Colaboradores[Email],Colaboradores[[#This Row],[Email]])&gt;1,"Erro Duplicidade","")</f>
        <v/>
      </c>
      <c r="D18" s="3" t="s">
        <v>133</v>
      </c>
      <c r="E18" s="3" t="s">
        <v>264</v>
      </c>
      <c r="F18" s="17" t="str">
        <f>IF(ISERROR(VLOOKUP(Colaboradores[[#This Row],[Função]],Funcoes[],1,0))=TRUE,"Não Cadastrado","")</f>
        <v/>
      </c>
      <c r="G18" s="1"/>
      <c r="H18" s="17"/>
      <c r="I18" s="4" t="s">
        <v>265</v>
      </c>
      <c r="J18" s="3" t="s">
        <v>302</v>
      </c>
      <c r="K18" s="27" t="str">
        <f>IF(Colaboradores[[#This Row],[Nome]]="","",IF(ISERROR(VLOOKUP(Colaboradores[[#This Row],[Localização]],Universos[],1,0)) = FALSE,"","Não Cadastrado"))</f>
        <v/>
      </c>
      <c r="L18" s="28" t="str">
        <f>VLOOKUP(Colaboradores[[#This Row],[Localização]],Universos[],3,0)</f>
        <v>Montanha</v>
      </c>
      <c r="M18" s="29" t="str">
        <f>VLOOKUP(Colaboradores[[#This Row],[Localização]],Universos[],7,0)</f>
        <v>Zona 04</v>
      </c>
      <c r="N18" s="29" t="str">
        <f>VLOOKUP(Colaboradores[[#This Row],[Localização]],Universos[],6,0)</f>
        <v>1º andar</v>
      </c>
      <c r="O18" s="29" t="str">
        <f t="shared" si="0"/>
        <v>RS-BELAS</v>
      </c>
      <c r="P18" s="28" t="str">
        <f t="shared" si="1"/>
        <v>PRAIA DE BELAS</v>
      </c>
      <c r="Q18" s="45" t="s">
        <v>313</v>
      </c>
      <c r="R18" s="4" t="s">
        <v>265</v>
      </c>
    </row>
    <row r="19" spans="1:18" ht="24" customHeight="1" x14ac:dyDescent="0.25">
      <c r="A19" s="32" t="str">
        <f>"F" &amp;TEXT(ROW(Colaboradores[[#This Row],[Email]])-3,"0000")</f>
        <v>F0016</v>
      </c>
      <c r="B19" s="1" t="str">
        <f>LOWER(SUBSTITUTE(Colaboradores[[#This Row],[Nome]]," ",".")&amp;"@decathlon.com")</f>
        <v>pamella.carraro@decathlon.com</v>
      </c>
      <c r="C19" s="17" t="str">
        <f>IF(COUNTIF(Colaboradores[Email],Colaboradores[[#This Row],[Email]])&gt;1,"Erro Duplicidade","")</f>
        <v/>
      </c>
      <c r="D19" s="3" t="s">
        <v>135</v>
      </c>
      <c r="E19" s="3" t="s">
        <v>260</v>
      </c>
      <c r="F19" s="17" t="str">
        <f>IF(ISERROR(VLOOKUP(Colaboradores[[#This Row],[Função]],Funcoes[],1,0))=TRUE,"Não Cadastrado","")</f>
        <v/>
      </c>
      <c r="G19" s="1"/>
      <c r="H19" s="17" t="s">
        <v>265</v>
      </c>
      <c r="I19" s="4" t="s">
        <v>265</v>
      </c>
      <c r="J19" s="3" t="s">
        <v>302</v>
      </c>
      <c r="K19" s="27" t="str">
        <f>IF(Colaboradores[[#This Row],[Nome]]="","",IF(ISERROR(VLOOKUP(Colaboradores[[#This Row],[Localização]],Universos[],1,0)) = FALSE,"","Não Cadastrado"))</f>
        <v/>
      </c>
      <c r="L19" s="28" t="str">
        <f>VLOOKUP(Colaboradores[[#This Row],[Localização]],Universos[],3,0)</f>
        <v>Montanha</v>
      </c>
      <c r="M19" s="29" t="str">
        <f>VLOOKUP(Colaboradores[[#This Row],[Localização]],Universos[],7,0)</f>
        <v>Zona 04</v>
      </c>
      <c r="N19" s="29" t="str">
        <f>VLOOKUP(Colaboradores[[#This Row],[Localização]],Universos[],6,0)</f>
        <v>1º andar</v>
      </c>
      <c r="O19" s="29" t="str">
        <f t="shared" si="0"/>
        <v>RS-BELAS</v>
      </c>
      <c r="P19" s="28" t="str">
        <f t="shared" si="1"/>
        <v>PRAIA DE BELAS</v>
      </c>
      <c r="Q19" s="45" t="s">
        <v>313</v>
      </c>
      <c r="R19" s="4" t="s">
        <v>265</v>
      </c>
    </row>
    <row r="20" spans="1:18" ht="24" customHeight="1" x14ac:dyDescent="0.25">
      <c r="A20" s="32" t="str">
        <f>"F" &amp;TEXT(ROW(Colaboradores[[#This Row],[Email]])-3,"0000")</f>
        <v>F0017</v>
      </c>
      <c r="B20" s="1" t="str">
        <f>LOWER(SUBSTITUTE(Colaboradores[[#This Row],[Nome]]," ",".")&amp;"@decathlon.com")</f>
        <v>joão.pedro@decathlon.com</v>
      </c>
      <c r="C20" s="17" t="str">
        <f>IF(COUNTIF(Colaboradores[Email],Colaboradores[[#This Row],[Email]])&gt;1,"Erro Duplicidade","")</f>
        <v/>
      </c>
      <c r="D20" s="3" t="s">
        <v>131</v>
      </c>
      <c r="E20" s="3" t="s">
        <v>263</v>
      </c>
      <c r="F20" s="17" t="str">
        <f>IF(ISERROR(VLOOKUP(Colaboradores[[#This Row],[Função]],Funcoes[],1,0))=TRUE,"Não Cadastrado","")</f>
        <v/>
      </c>
      <c r="G20" s="1"/>
      <c r="H20" s="17"/>
      <c r="I20" s="4" t="s">
        <v>265</v>
      </c>
      <c r="J20" s="3" t="s">
        <v>303</v>
      </c>
      <c r="K20" s="27" t="str">
        <f>IF(Colaboradores[[#This Row],[Nome]]="","",IF(ISERROR(VLOOKUP(Colaboradores[[#This Row],[Localização]],Universos[],1,0)) = FALSE,"","Não Cadastrado"))</f>
        <v/>
      </c>
      <c r="L20" s="28" t="str">
        <f>VLOOKUP(Colaboradores[[#This Row],[Localização]],Universos[],3,0)</f>
        <v>Atendimento</v>
      </c>
      <c r="M20" s="29" t="str">
        <f>VLOOKUP(Colaboradores[[#This Row],[Localização]],Universos[],7,0)</f>
        <v>Zona 01</v>
      </c>
      <c r="N20" s="29" t="str">
        <f>VLOOKUP(Colaboradores[[#This Row],[Localização]],Universos[],6,0)</f>
        <v>1º andar</v>
      </c>
      <c r="O20" s="29" t="str">
        <f t="shared" si="0"/>
        <v>RS-BELAS</v>
      </c>
      <c r="P20" s="28" t="str">
        <f t="shared" si="1"/>
        <v>PRAIA DE BELAS</v>
      </c>
      <c r="Q20" s="45" t="s">
        <v>314</v>
      </c>
      <c r="R20" s="4" t="s">
        <v>265</v>
      </c>
    </row>
    <row r="21" spans="1:18" ht="24" customHeight="1" x14ac:dyDescent="0.25">
      <c r="A21" s="32" t="str">
        <f>"F" &amp;TEXT(ROW(Colaboradores[[#This Row],[Email]])-3,"0000")</f>
        <v>F0018</v>
      </c>
      <c r="B21" s="1" t="str">
        <f>LOWER(SUBSTITUTE(Colaboradores[[#This Row],[Nome]]," ",".")&amp;"@decathlon.com")</f>
        <v>bianca.santarem@decathlon.com</v>
      </c>
      <c r="C21" s="17" t="str">
        <f>IF(COUNTIF(Colaboradores[Email],Colaboradores[[#This Row],[Email]])&gt;1,"Erro Duplicidade","")</f>
        <v/>
      </c>
      <c r="D21" s="3" t="s">
        <v>134</v>
      </c>
      <c r="E21" s="3" t="s">
        <v>263</v>
      </c>
      <c r="F21" s="17" t="str">
        <f>IF(ISERROR(VLOOKUP(Colaboradores[[#This Row],[Função]],Funcoes[],1,0))=TRUE,"Não Cadastrado","")</f>
        <v/>
      </c>
      <c r="G21" s="1"/>
      <c r="H21" s="17" t="s">
        <v>265</v>
      </c>
      <c r="I21" s="4" t="s">
        <v>265</v>
      </c>
      <c r="J21" s="3" t="s">
        <v>303</v>
      </c>
      <c r="K21" s="27" t="str">
        <f>IF(Colaboradores[[#This Row],[Nome]]="","",IF(ISERROR(VLOOKUP(Colaboradores[[#This Row],[Localização]],Universos[],1,0)) = FALSE,"","Não Cadastrado"))</f>
        <v/>
      </c>
      <c r="L21" s="28" t="str">
        <f>VLOOKUP(Colaboradores[[#This Row],[Localização]],Universos[],3,0)</f>
        <v>Atendimento</v>
      </c>
      <c r="M21" s="29" t="str">
        <f>VLOOKUP(Colaboradores[[#This Row],[Localização]],Universos[],7,0)</f>
        <v>Zona 01</v>
      </c>
      <c r="N21" s="29" t="str">
        <f>VLOOKUP(Colaboradores[[#This Row],[Localização]],Universos[],6,0)</f>
        <v>1º andar</v>
      </c>
      <c r="O21" s="29" t="str">
        <f t="shared" si="0"/>
        <v>RS-BELAS</v>
      </c>
      <c r="P21" s="28" t="str">
        <f t="shared" si="1"/>
        <v>PRAIA DE BELAS</v>
      </c>
      <c r="Q21" s="45" t="s">
        <v>313</v>
      </c>
      <c r="R21" s="4" t="s">
        <v>265</v>
      </c>
    </row>
    <row r="22" spans="1:18" ht="24" customHeight="1" x14ac:dyDescent="0.25">
      <c r="A22" s="32" t="str">
        <f>"F" &amp;TEXT(ROW(Colaboradores[[#This Row],[Email]])-3,"0000")</f>
        <v>F0019</v>
      </c>
      <c r="B22" s="1" t="str">
        <f>LOWER(SUBSTITUTE(Colaboradores[[#This Row],[Nome]]," ",".")&amp;"@decathlon.com")</f>
        <v>evelin.da.silva@decathlon.com</v>
      </c>
      <c r="C22" s="17" t="str">
        <f>IF(COUNTIF(Colaboradores[Email],Colaboradores[[#This Row],[Email]])&gt;1,"Erro Duplicidade","")</f>
        <v/>
      </c>
      <c r="D22" s="3" t="s">
        <v>136</v>
      </c>
      <c r="E22" s="3" t="s">
        <v>263</v>
      </c>
      <c r="F22" s="17" t="str">
        <f>IF(ISERROR(VLOOKUP(Colaboradores[[#This Row],[Função]],Funcoes[],1,0))=TRUE,"Não Cadastrado","")</f>
        <v/>
      </c>
      <c r="G22" s="1"/>
      <c r="H22" s="17"/>
      <c r="I22" s="4"/>
      <c r="J22" s="3" t="s">
        <v>303</v>
      </c>
      <c r="K22" s="27" t="str">
        <f>IF(Colaboradores[[#This Row],[Nome]]="","",IF(ISERROR(VLOOKUP(Colaboradores[[#This Row],[Localização]],Universos[],1,0)) = FALSE,"","Não Cadastrado"))</f>
        <v/>
      </c>
      <c r="L22" s="28" t="str">
        <f>VLOOKUP(Colaboradores[[#This Row],[Localização]],Universos[],3,0)</f>
        <v>Atendimento</v>
      </c>
      <c r="M22" s="29" t="str">
        <f>VLOOKUP(Colaboradores[[#This Row],[Localização]],Universos[],7,0)</f>
        <v>Zona 01</v>
      </c>
      <c r="N22" s="29" t="str">
        <f>VLOOKUP(Colaboradores[[#This Row],[Localização]],Universos[],6,0)</f>
        <v>1º andar</v>
      </c>
      <c r="O22" s="29" t="str">
        <f t="shared" si="0"/>
        <v>RS-BELAS</v>
      </c>
      <c r="P22" s="28" t="str">
        <f t="shared" si="1"/>
        <v>PRAIA DE BELAS</v>
      </c>
      <c r="Q22" s="45" t="s">
        <v>313</v>
      </c>
      <c r="R22" s="4" t="s">
        <v>265</v>
      </c>
    </row>
    <row r="23" spans="1:18" ht="24" customHeight="1" x14ac:dyDescent="0.25">
      <c r="A23" s="32" t="str">
        <f>"F" &amp;TEXT(ROW(Colaboradores[[#This Row],[Email]])-3,"0000")</f>
        <v>F0020</v>
      </c>
      <c r="B23" s="1" t="str">
        <f>LOWER(SUBSTITUTE(Colaboradores[[#This Row],[Nome]]," ",".")&amp;"@decathlon.com")</f>
        <v>ana.carolina.dartora@decathlon.com</v>
      </c>
      <c r="C23" s="17" t="str">
        <f>IF(COUNTIF(Colaboradores[Email],Colaboradores[[#This Row],[Email]])&gt;1,"Erro Duplicidade","")</f>
        <v/>
      </c>
      <c r="D23" s="3" t="s">
        <v>137</v>
      </c>
      <c r="E23" s="3" t="s">
        <v>263</v>
      </c>
      <c r="F23" s="17" t="str">
        <f>IF(ISERROR(VLOOKUP(Colaboradores[[#This Row],[Função]],Funcoes[],1,0))=TRUE,"Não Cadastrado","")</f>
        <v/>
      </c>
      <c r="G23" s="1"/>
      <c r="H23" s="17"/>
      <c r="I23" s="4"/>
      <c r="J23" s="3" t="s">
        <v>303</v>
      </c>
      <c r="K23" s="27" t="str">
        <f>IF(Colaboradores[[#This Row],[Nome]]="","",IF(ISERROR(VLOOKUP(Colaboradores[[#This Row],[Localização]],Universos[],1,0)) = FALSE,"","Não Cadastrado"))</f>
        <v/>
      </c>
      <c r="L23" s="28" t="str">
        <f>VLOOKUP(Colaboradores[[#This Row],[Localização]],Universos[],3,0)</f>
        <v>Atendimento</v>
      </c>
      <c r="M23" s="29" t="str">
        <f>VLOOKUP(Colaboradores[[#This Row],[Localização]],Universos[],7,0)</f>
        <v>Zona 01</v>
      </c>
      <c r="N23" s="29" t="str">
        <f>VLOOKUP(Colaboradores[[#This Row],[Localização]],Universos[],6,0)</f>
        <v>1º andar</v>
      </c>
      <c r="O23" s="29" t="str">
        <f t="shared" si="0"/>
        <v>RS-BELAS</v>
      </c>
      <c r="P23" s="28" t="str">
        <f t="shared" si="1"/>
        <v>PRAIA DE BELAS</v>
      </c>
      <c r="Q23" s="45" t="s">
        <v>313</v>
      </c>
      <c r="R23" s="4" t="s">
        <v>265</v>
      </c>
    </row>
    <row r="24" spans="1:18" ht="24" customHeight="1" x14ac:dyDescent="0.25">
      <c r="A24" s="32" t="str">
        <f>"F" &amp;TEXT(ROW(Colaboradores[[#This Row],[Email]])-3,"0000")</f>
        <v>F0021</v>
      </c>
      <c r="B24" s="10" t="str">
        <f>LOWER(SUBSTITUTE(Colaboradores[[#This Row],[Nome]]," ",".")&amp;"@decathlon.com")</f>
        <v>lana.puntel@decathlon.com</v>
      </c>
      <c r="C24" s="18" t="str">
        <f>IF(COUNTIF(Colaboradores[Email],Colaboradores[[#This Row],[Email]])&gt;1,"Erro Duplicidade","")</f>
        <v/>
      </c>
      <c r="D24" s="3" t="s">
        <v>138</v>
      </c>
      <c r="E24" s="7" t="s">
        <v>260</v>
      </c>
      <c r="F24" s="18" t="str">
        <f>IF(ISERROR(VLOOKUP(Colaboradores[[#This Row],[Função]],Funcoes[],1,0))=TRUE,"Não Cadastrado","")</f>
        <v/>
      </c>
      <c r="G24" s="10"/>
      <c r="H24" s="17"/>
      <c r="I24" s="6"/>
      <c r="J24" s="3" t="s">
        <v>303</v>
      </c>
      <c r="K24" s="27" t="str">
        <f>IF(Colaboradores[[#This Row],[Nome]]="","",IF(ISERROR(VLOOKUP(Colaboradores[[#This Row],[Localização]],Universos[],1,0)) = FALSE,"","Não Cadastrado"))</f>
        <v/>
      </c>
      <c r="L24" s="28" t="str">
        <f>VLOOKUP(Colaboradores[[#This Row],[Localização]],Universos[],3,0)</f>
        <v>Atendimento</v>
      </c>
      <c r="M24" s="29" t="str">
        <f>VLOOKUP(Colaboradores[[#This Row],[Localização]],Universos[],7,0)</f>
        <v>Zona 01</v>
      </c>
      <c r="N24" s="29" t="str">
        <f>VLOOKUP(Colaboradores[[#This Row],[Localização]],Universos[],6,0)</f>
        <v>1º andar</v>
      </c>
      <c r="O24" s="29" t="str">
        <f t="shared" si="0"/>
        <v>RS-BELAS</v>
      </c>
      <c r="P24" s="28" t="str">
        <f t="shared" si="1"/>
        <v>PRAIA DE BELAS</v>
      </c>
      <c r="Q24" s="45" t="s">
        <v>314</v>
      </c>
      <c r="R24" s="4" t="s">
        <v>265</v>
      </c>
    </row>
    <row r="25" spans="1:18" ht="24" customHeight="1" x14ac:dyDescent="0.25">
      <c r="A25" s="32" t="str">
        <f>"F" &amp;TEXT(ROW(Colaboradores[[#This Row],[Email]])-3,"0000")</f>
        <v>F0022</v>
      </c>
      <c r="B25" s="1" t="str">
        <f>LOWER(SUBSTITUTE(Colaboradores[[#This Row],[Nome]]," ",".")&amp;"@decathlon.com")</f>
        <v>therry.vargas@decathlon.com</v>
      </c>
      <c r="C25" s="17" t="str">
        <f>IF(COUNTIF(Colaboradores[Email],Colaboradores[[#This Row],[Email]])&gt;1,"Erro Duplicidade","")</f>
        <v/>
      </c>
      <c r="D25" s="3" t="s">
        <v>139</v>
      </c>
      <c r="E25" s="7" t="s">
        <v>260</v>
      </c>
      <c r="F25" s="18" t="str">
        <f>IF(ISERROR(VLOOKUP(Colaboradores[[#This Row],[Função]],Funcoes[],1,0))=TRUE,"Não Cadastrado","")</f>
        <v/>
      </c>
      <c r="G25" s="1"/>
      <c r="H25" s="17"/>
      <c r="I25" s="4"/>
      <c r="J25" s="3" t="s">
        <v>304</v>
      </c>
      <c r="K25" s="27" t="str">
        <f>IF(Colaboradores[[#This Row],[Nome]]="","",IF(ISERROR(VLOOKUP(Colaboradores[[#This Row],[Localização]],Universos[],1,0)) = FALSE,"","Não Cadastrado"))</f>
        <v/>
      </c>
      <c r="L25" s="28" t="str">
        <f>VLOOKUP(Colaboradores[[#This Row],[Localização]],Universos[],3,0)</f>
        <v>Fitness</v>
      </c>
      <c r="M25" s="29" t="str">
        <f>VLOOKUP(Colaboradores[[#This Row],[Localização]],Universos[],7,0)</f>
        <v>Zona 04</v>
      </c>
      <c r="N25" s="29" t="str">
        <f>VLOOKUP(Colaboradores[[#This Row],[Localização]],Universos[],6,0)</f>
        <v>1º andar</v>
      </c>
      <c r="O25" s="29" t="str">
        <f t="shared" si="0"/>
        <v>RS-BELAS</v>
      </c>
      <c r="P25" s="28" t="str">
        <f t="shared" si="1"/>
        <v>PRAIA DE BELAS</v>
      </c>
      <c r="Q25" s="45" t="s">
        <v>313</v>
      </c>
      <c r="R25" s="4" t="s">
        <v>265</v>
      </c>
    </row>
    <row r="26" spans="1:18" ht="24" customHeight="1" x14ac:dyDescent="0.25">
      <c r="A26" s="32" t="str">
        <f>"F" &amp;TEXT(ROW(Colaboradores[[#This Row],[Email]])-3,"0000")</f>
        <v>F0023</v>
      </c>
      <c r="B26" s="1" t="str">
        <f>LOWER(SUBSTITUTE(Colaboradores[[#This Row],[Nome]]," ",".")&amp;"@decathlon.com")</f>
        <v>jorge.amador.jr@decathlon.com</v>
      </c>
      <c r="C26" s="17" t="str">
        <f>IF(COUNTIF(Colaboradores[Email],Colaboradores[[#This Row],[Email]])&gt;1,"Erro Duplicidade","")</f>
        <v/>
      </c>
      <c r="D26" s="3" t="s">
        <v>142</v>
      </c>
      <c r="E26" s="7" t="s">
        <v>260</v>
      </c>
      <c r="F26" s="18" t="str">
        <f>IF(ISERROR(VLOOKUP(Colaboradores[[#This Row],[Função]],Funcoes[],1,0))=TRUE,"Não Cadastrado","")</f>
        <v/>
      </c>
      <c r="G26" s="1"/>
      <c r="H26" s="17"/>
      <c r="I26" s="4" t="s">
        <v>265</v>
      </c>
      <c r="J26" s="3" t="s">
        <v>304</v>
      </c>
      <c r="K26" s="27" t="str">
        <f>IF(Colaboradores[[#This Row],[Nome]]="","",IF(ISERROR(VLOOKUP(Colaboradores[[#This Row],[Localização]],Universos[],1,0)) = FALSE,"","Não Cadastrado"))</f>
        <v/>
      </c>
      <c r="L26" s="28" t="str">
        <f>VLOOKUP(Colaboradores[[#This Row],[Localização]],Universos[],3,0)</f>
        <v>Fitness</v>
      </c>
      <c r="M26" s="29" t="str">
        <f>VLOOKUP(Colaboradores[[#This Row],[Localização]],Universos[],7,0)</f>
        <v>Zona 04</v>
      </c>
      <c r="N26" s="29" t="str">
        <f>VLOOKUP(Colaboradores[[#This Row],[Localização]],Universos[],6,0)</f>
        <v>1º andar</v>
      </c>
      <c r="O26" s="29" t="str">
        <f t="shared" si="0"/>
        <v>RS-BELAS</v>
      </c>
      <c r="P26" s="28" t="str">
        <f t="shared" si="1"/>
        <v>PRAIA DE BELAS</v>
      </c>
      <c r="Q26" s="45" t="s">
        <v>313</v>
      </c>
      <c r="R26" s="4" t="s">
        <v>265</v>
      </c>
    </row>
    <row r="27" spans="1:18" ht="24" customHeight="1" x14ac:dyDescent="0.25">
      <c r="A27" s="32" t="str">
        <f>"F" &amp;TEXT(ROW(Colaboradores[[#This Row],[Email]])-3,"0000")</f>
        <v>F0024</v>
      </c>
      <c r="B27" s="1" t="str">
        <f>LOWER(SUBSTITUTE(Colaboradores[[#This Row],[Nome]]," ",".")&amp;"@decathlon.com")</f>
        <v>priscila.martins@decathlon.com</v>
      </c>
      <c r="C27" s="17" t="str">
        <f>IF(COUNTIF(Colaboradores[Email],Colaboradores[[#This Row],[Email]])&gt;1,"Erro Duplicidade","")</f>
        <v/>
      </c>
      <c r="D27" s="3" t="s">
        <v>147</v>
      </c>
      <c r="E27" s="7" t="s">
        <v>262</v>
      </c>
      <c r="F27" s="18" t="str">
        <f>IF(ISERROR(VLOOKUP(Colaboradores[[#This Row],[Função]],Funcoes[],1,0))=TRUE,"Não Cadastrado","")</f>
        <v/>
      </c>
      <c r="G27" s="1"/>
      <c r="H27" s="17"/>
      <c r="I27" s="4" t="s">
        <v>265</v>
      </c>
      <c r="J27" s="3" t="s">
        <v>304</v>
      </c>
      <c r="K27" s="27" t="str">
        <f>IF(Colaboradores[[#This Row],[Nome]]="","",IF(ISERROR(VLOOKUP(Colaboradores[[#This Row],[Localização]],Universos[],1,0)) = FALSE,"","Não Cadastrado"))</f>
        <v/>
      </c>
      <c r="L27" s="28" t="str">
        <f>VLOOKUP(Colaboradores[[#This Row],[Localização]],Universos[],3,0)</f>
        <v>Fitness</v>
      </c>
      <c r="M27" s="29" t="str">
        <f>VLOOKUP(Colaboradores[[#This Row],[Localização]],Universos[],7,0)</f>
        <v>Zona 04</v>
      </c>
      <c r="N27" s="29" t="str">
        <f>VLOOKUP(Colaboradores[[#This Row],[Localização]],Universos[],6,0)</f>
        <v>1º andar</v>
      </c>
      <c r="O27" s="29" t="str">
        <f t="shared" si="0"/>
        <v>RS-BELAS</v>
      </c>
      <c r="P27" s="28" t="str">
        <f t="shared" si="1"/>
        <v>PRAIA DE BELAS</v>
      </c>
      <c r="Q27" s="45" t="s">
        <v>313</v>
      </c>
      <c r="R27" s="4" t="s">
        <v>265</v>
      </c>
    </row>
    <row r="28" spans="1:18" ht="24" customHeight="1" x14ac:dyDescent="0.25">
      <c r="A28" s="32" t="str">
        <f>"F" &amp;TEXT(ROW(Colaboradores[[#This Row],[Email]])-3,"0000")</f>
        <v>F0025</v>
      </c>
      <c r="B28" s="1" t="str">
        <f>LOWER(SUBSTITUTE(Colaboradores[[#This Row],[Nome]]," ",".")&amp;"@decathlon.com")</f>
        <v>rafael.soares@decathlon.com</v>
      </c>
      <c r="C28" s="17" t="str">
        <f>IF(COUNTIF(Colaboradores[Email],Colaboradores[[#This Row],[Email]])&gt;1,"Erro Duplicidade","")</f>
        <v/>
      </c>
      <c r="D28" s="3" t="s">
        <v>150</v>
      </c>
      <c r="E28" s="7" t="s">
        <v>260</v>
      </c>
      <c r="F28" s="18" t="str">
        <f>IF(ISERROR(VLOOKUP(Colaboradores[[#This Row],[Função]],Funcoes[],1,0))=TRUE,"Não Cadastrado","")</f>
        <v/>
      </c>
      <c r="G28" s="1"/>
      <c r="H28" s="17" t="s">
        <v>265</v>
      </c>
      <c r="I28" s="4"/>
      <c r="J28" s="3" t="s">
        <v>304</v>
      </c>
      <c r="K28" s="27" t="str">
        <f>IF(Colaboradores[[#This Row],[Nome]]="","",IF(ISERROR(VLOOKUP(Colaboradores[[#This Row],[Localização]],Universos[],1,0)) = FALSE,"","Não Cadastrado"))</f>
        <v/>
      </c>
      <c r="L28" s="28" t="str">
        <f>VLOOKUP(Colaboradores[[#This Row],[Localização]],Universos[],3,0)</f>
        <v>Fitness</v>
      </c>
      <c r="M28" s="29" t="str">
        <f>VLOOKUP(Colaboradores[[#This Row],[Localização]],Universos[],7,0)</f>
        <v>Zona 04</v>
      </c>
      <c r="N28" s="29" t="str">
        <f>VLOOKUP(Colaboradores[[#This Row],[Localização]],Universos[],6,0)</f>
        <v>1º andar</v>
      </c>
      <c r="O28" s="29" t="str">
        <f t="shared" si="0"/>
        <v>RS-BELAS</v>
      </c>
      <c r="P28" s="28" t="str">
        <f t="shared" si="1"/>
        <v>PRAIA DE BELAS</v>
      </c>
      <c r="Q28" s="45" t="s">
        <v>313</v>
      </c>
      <c r="R28" s="4" t="s">
        <v>265</v>
      </c>
    </row>
    <row r="29" spans="1:18" ht="24" customHeight="1" x14ac:dyDescent="0.25">
      <c r="A29" s="32" t="str">
        <f>"F" &amp;TEXT(ROW(Colaboradores[[#This Row],[Email]])-3,"0000")</f>
        <v>F0026</v>
      </c>
      <c r="B29" s="1" t="str">
        <f>LOWER(SUBSTITUTE(Colaboradores[[#This Row],[Nome]]," ",".")&amp;"@decathlon.com")</f>
        <v>nathan.linetcky@decathlon.com</v>
      </c>
      <c r="C29" s="17" t="str">
        <f>IF(COUNTIF(Colaboradores[Email],Colaboradores[[#This Row],[Email]])&gt;1,"Erro Duplicidade","")</f>
        <v/>
      </c>
      <c r="D29" s="3" t="s">
        <v>140</v>
      </c>
      <c r="E29" s="7" t="s">
        <v>260</v>
      </c>
      <c r="F29" s="18" t="str">
        <f>IF(ISERROR(VLOOKUP(Colaboradores[[#This Row],[Função]],Funcoes[],1,0))=TRUE,"Não Cadastrado","")</f>
        <v/>
      </c>
      <c r="G29" s="1"/>
      <c r="H29" s="17"/>
      <c r="I29" s="4" t="s">
        <v>265</v>
      </c>
      <c r="J29" s="3" t="s">
        <v>305</v>
      </c>
      <c r="K29" s="27" t="str">
        <f>IF(Colaboradores[[#This Row],[Nome]]="","",IF(ISERROR(VLOOKUP(Colaboradores[[#This Row],[Localização]],Universos[],1,0)) = FALSE,"","Não Cadastrado"))</f>
        <v/>
      </c>
      <c r="L29" s="28" t="str">
        <f>VLOOKUP(Colaboradores[[#This Row],[Localização]],Universos[],3,0)</f>
        <v>Água</v>
      </c>
      <c r="M29" s="29" t="str">
        <f>VLOOKUP(Colaboradores[[#This Row],[Localização]],Universos[],7,0)</f>
        <v>Zona 02</v>
      </c>
      <c r="N29" s="29" t="str">
        <f>VLOOKUP(Colaboradores[[#This Row],[Localização]],Universos[],6,0)</f>
        <v>1º andar</v>
      </c>
      <c r="O29" s="29" t="str">
        <f t="shared" si="0"/>
        <v>RS-BELAS</v>
      </c>
      <c r="P29" s="28" t="str">
        <f t="shared" si="1"/>
        <v>PRAIA DE BELAS</v>
      </c>
      <c r="Q29" s="45" t="s">
        <v>314</v>
      </c>
      <c r="R29" s="4" t="s">
        <v>265</v>
      </c>
    </row>
    <row r="30" spans="1:18" ht="24" customHeight="1" x14ac:dyDescent="0.25">
      <c r="A30" s="32" t="str">
        <f>"F" &amp;TEXT(ROW(Colaboradores[[#This Row],[Email]])-3,"0000")</f>
        <v>F0027</v>
      </c>
      <c r="B30" s="1" t="str">
        <f>LOWER(SUBSTITUTE(Colaboradores[[#This Row],[Nome]]," ",".")&amp;"@decathlon.com")</f>
        <v>diego.marques@decathlon.com</v>
      </c>
      <c r="C30" s="17" t="str">
        <f>IF(COUNTIF(Colaboradores[Email],Colaboradores[[#This Row],[Email]])&gt;1,"Erro Duplicidade","")</f>
        <v/>
      </c>
      <c r="D30" s="3" t="s">
        <v>143</v>
      </c>
      <c r="E30" s="7" t="s">
        <v>260</v>
      </c>
      <c r="F30" s="18" t="str">
        <f>IF(ISERROR(VLOOKUP(Colaboradores[[#This Row],[Função]],Funcoes[],1,0))=TRUE,"Não Cadastrado","")</f>
        <v/>
      </c>
      <c r="G30" s="1"/>
      <c r="H30" s="17"/>
      <c r="I30" s="4" t="s">
        <v>265</v>
      </c>
      <c r="J30" s="3" t="s">
        <v>305</v>
      </c>
      <c r="K30" s="27" t="str">
        <f>IF(Colaboradores[[#This Row],[Nome]]="","",IF(ISERROR(VLOOKUP(Colaboradores[[#This Row],[Localização]],Universos[],1,0)) = FALSE,"","Não Cadastrado"))</f>
        <v/>
      </c>
      <c r="L30" s="28" t="str">
        <f>VLOOKUP(Colaboradores[[#This Row],[Localização]],Universos[],3,0)</f>
        <v>Água</v>
      </c>
      <c r="M30" s="29" t="str">
        <f>VLOOKUP(Colaboradores[[#This Row],[Localização]],Universos[],7,0)</f>
        <v>Zona 02</v>
      </c>
      <c r="N30" s="29" t="str">
        <f>VLOOKUP(Colaboradores[[#This Row],[Localização]],Universos[],6,0)</f>
        <v>1º andar</v>
      </c>
      <c r="O30" s="29" t="str">
        <f t="shared" si="0"/>
        <v>RS-BELAS</v>
      </c>
      <c r="P30" s="28" t="str">
        <f t="shared" si="1"/>
        <v>PRAIA DE BELAS</v>
      </c>
      <c r="Q30" s="45" t="s">
        <v>313</v>
      </c>
      <c r="R30" s="4" t="s">
        <v>265</v>
      </c>
    </row>
    <row r="31" spans="1:18" ht="24" customHeight="1" x14ac:dyDescent="0.25">
      <c r="A31" s="32" t="str">
        <f>"F" &amp;TEXT(ROW(Colaboradores[[#This Row],[Email]])-3,"0000")</f>
        <v>F0028</v>
      </c>
      <c r="B31" s="1" t="str">
        <f>LOWER(SUBSTITUTE(Colaboradores[[#This Row],[Nome]]," ",".")&amp;"@decathlon.com")</f>
        <v>matheus.pederiva@decathlon.com</v>
      </c>
      <c r="C31" s="17" t="str">
        <f>IF(COUNTIF(Colaboradores[Email],Colaboradores[[#This Row],[Email]])&gt;1,"Erro Duplicidade","")</f>
        <v/>
      </c>
      <c r="D31" s="3" t="s">
        <v>145</v>
      </c>
      <c r="E31" s="7" t="s">
        <v>262</v>
      </c>
      <c r="F31" s="18" t="str">
        <f>IF(ISERROR(VLOOKUP(Colaboradores[[#This Row],[Função]],Funcoes[],1,0))=TRUE,"Não Cadastrado","")</f>
        <v/>
      </c>
      <c r="G31" s="1"/>
      <c r="H31" s="17"/>
      <c r="I31" s="4" t="s">
        <v>265</v>
      </c>
      <c r="J31" s="3" t="s">
        <v>305</v>
      </c>
      <c r="K31" s="27" t="str">
        <f>IF(Colaboradores[[#This Row],[Nome]]="","",IF(ISERROR(VLOOKUP(Colaboradores[[#This Row],[Localização]],Universos[],1,0)) = FALSE,"","Não Cadastrado"))</f>
        <v/>
      </c>
      <c r="L31" s="28" t="str">
        <f>VLOOKUP(Colaboradores[[#This Row],[Localização]],Universos[],3,0)</f>
        <v>Água</v>
      </c>
      <c r="M31" s="29" t="str">
        <f>VLOOKUP(Colaboradores[[#This Row],[Localização]],Universos[],7,0)</f>
        <v>Zona 02</v>
      </c>
      <c r="N31" s="29" t="str">
        <f>VLOOKUP(Colaboradores[[#This Row],[Localização]],Universos[],6,0)</f>
        <v>1º andar</v>
      </c>
      <c r="O31" s="29" t="str">
        <f t="shared" si="0"/>
        <v>RS-BELAS</v>
      </c>
      <c r="P31" s="28" t="str">
        <f t="shared" si="1"/>
        <v>PRAIA DE BELAS</v>
      </c>
      <c r="Q31" s="45" t="s">
        <v>313</v>
      </c>
      <c r="R31" s="4" t="s">
        <v>265</v>
      </c>
    </row>
    <row r="32" spans="1:18" ht="24" customHeight="1" x14ac:dyDescent="0.25">
      <c r="A32" s="32" t="str">
        <f>"F" &amp;TEXT(ROW(Colaboradores[[#This Row],[Email]])-3,"0000")</f>
        <v>F0029</v>
      </c>
      <c r="B32" s="1" t="str">
        <f>LOWER(SUBSTITUTE(Colaboradores[[#This Row],[Nome]]," ",".")&amp;"@decathlon.com")</f>
        <v>lucas@decathlon.com</v>
      </c>
      <c r="C32" s="17" t="str">
        <f>IF(COUNTIF(Colaboradores[Email],Colaboradores[[#This Row],[Email]])&gt;1,"Erro Duplicidade","")</f>
        <v/>
      </c>
      <c r="D32" s="3" t="s">
        <v>148</v>
      </c>
      <c r="E32" s="7" t="s">
        <v>260</v>
      </c>
      <c r="F32" s="18" t="str">
        <f>IF(ISERROR(VLOOKUP(Colaboradores[[#This Row],[Função]],Funcoes[],1,0))=TRUE,"Não Cadastrado","")</f>
        <v/>
      </c>
      <c r="G32" s="1"/>
      <c r="H32" s="17"/>
      <c r="I32" s="4" t="s">
        <v>265</v>
      </c>
      <c r="J32" s="3" t="s">
        <v>305</v>
      </c>
      <c r="K32" s="27" t="str">
        <f>IF(Colaboradores[[#This Row],[Nome]]="","",IF(ISERROR(VLOOKUP(Colaboradores[[#This Row],[Localização]],Universos[],1,0)) = FALSE,"","Não Cadastrado"))</f>
        <v/>
      </c>
      <c r="L32" s="28" t="str">
        <f>VLOOKUP(Colaboradores[[#This Row],[Localização]],Universos[],3,0)</f>
        <v>Água</v>
      </c>
      <c r="M32" s="29" t="str">
        <f>VLOOKUP(Colaboradores[[#This Row],[Localização]],Universos[],7,0)</f>
        <v>Zona 02</v>
      </c>
      <c r="N32" s="29" t="str">
        <f>VLOOKUP(Colaboradores[[#This Row],[Localização]],Universos[],6,0)</f>
        <v>1º andar</v>
      </c>
      <c r="O32" s="29" t="str">
        <f t="shared" si="0"/>
        <v>RS-BELAS</v>
      </c>
      <c r="P32" s="28" t="str">
        <f t="shared" si="1"/>
        <v>PRAIA DE BELAS</v>
      </c>
      <c r="Q32" s="45" t="s">
        <v>314</v>
      </c>
      <c r="R32" s="4" t="s">
        <v>265</v>
      </c>
    </row>
    <row r="33" spans="1:18" ht="24" customHeight="1" x14ac:dyDescent="0.25">
      <c r="A33" s="32" t="str">
        <f>"F" &amp;TEXT(ROW(Colaboradores[[#This Row],[Email]])-3,"0000")</f>
        <v>F0030</v>
      </c>
      <c r="B33" s="1" t="str">
        <f>LOWER(SUBSTITUTE(Colaboradores[[#This Row],[Nome]]," ",".")&amp;"@decathlon.com")</f>
        <v>mauricio.alves@decathlon.com</v>
      </c>
      <c r="C33" s="17" t="str">
        <f>IF(COUNTIF(Colaboradores[Email],Colaboradores[[#This Row],[Email]])&gt;1,"Erro Duplicidade","")</f>
        <v/>
      </c>
      <c r="D33" s="3" t="s">
        <v>151</v>
      </c>
      <c r="E33" s="7" t="s">
        <v>260</v>
      </c>
      <c r="F33" s="18" t="str">
        <f>IF(ISERROR(VLOOKUP(Colaboradores[[#This Row],[Função]],Funcoes[],1,0))=TRUE,"Não Cadastrado","")</f>
        <v/>
      </c>
      <c r="G33" s="1"/>
      <c r="H33" s="17"/>
      <c r="I33" s="4" t="s">
        <v>265</v>
      </c>
      <c r="J33" s="3" t="s">
        <v>305</v>
      </c>
      <c r="K33" s="27" t="str">
        <f>IF(Colaboradores[[#This Row],[Nome]]="","",IF(ISERROR(VLOOKUP(Colaboradores[[#This Row],[Localização]],Universos[],1,0)) = FALSE,"","Não Cadastrado"))</f>
        <v/>
      </c>
      <c r="L33" s="28" t="str">
        <f>VLOOKUP(Colaboradores[[#This Row],[Localização]],Universos[],3,0)</f>
        <v>Água</v>
      </c>
      <c r="M33" s="29" t="str">
        <f>VLOOKUP(Colaboradores[[#This Row],[Localização]],Universos[],7,0)</f>
        <v>Zona 02</v>
      </c>
      <c r="N33" s="29" t="str">
        <f>VLOOKUP(Colaboradores[[#This Row],[Localização]],Universos[],6,0)</f>
        <v>1º andar</v>
      </c>
      <c r="O33" s="29" t="str">
        <f t="shared" si="0"/>
        <v>RS-BELAS</v>
      </c>
      <c r="P33" s="28" t="str">
        <f t="shared" si="1"/>
        <v>PRAIA DE BELAS</v>
      </c>
      <c r="Q33" s="45" t="s">
        <v>313</v>
      </c>
      <c r="R33" s="4" t="s">
        <v>265</v>
      </c>
    </row>
    <row r="34" spans="1:18" ht="24" customHeight="1" x14ac:dyDescent="0.25">
      <c r="A34" s="32" t="str">
        <f>"F" &amp;TEXT(ROW(Colaboradores[[#This Row],[Email]])-3,"0000")</f>
        <v>F0031</v>
      </c>
      <c r="B34" s="1" t="str">
        <f>LOWER(SUBSTITUTE(Colaboradores[[#This Row],[Nome]]," ",".")&amp;"@decathlon.com")</f>
        <v>carolina.santos@decathlon.com</v>
      </c>
      <c r="C34" s="17" t="str">
        <f>IF(COUNTIF(Colaboradores[Email],Colaboradores[[#This Row],[Email]])&gt;1,"Erro Duplicidade","")</f>
        <v/>
      </c>
      <c r="D34" s="3" t="s">
        <v>153</v>
      </c>
      <c r="E34" s="7" t="s">
        <v>260</v>
      </c>
      <c r="F34" s="18" t="str">
        <f>IF(ISERROR(VLOOKUP(Colaboradores[[#This Row],[Função]],Funcoes[],1,0))=TRUE,"Não Cadastrado","")</f>
        <v/>
      </c>
      <c r="G34" s="1"/>
      <c r="H34" s="17"/>
      <c r="I34" s="4" t="s">
        <v>265</v>
      </c>
      <c r="J34" s="3" t="s">
        <v>305</v>
      </c>
      <c r="K34" s="27" t="str">
        <f>IF(Colaboradores[[#This Row],[Nome]]="","",IF(ISERROR(VLOOKUP(Colaboradores[[#This Row],[Localização]],Universos[],1,0)) = FALSE,"","Não Cadastrado"))</f>
        <v/>
      </c>
      <c r="L34" s="28" t="str">
        <f>VLOOKUP(Colaboradores[[#This Row],[Localização]],Universos[],3,0)</f>
        <v>Água</v>
      </c>
      <c r="M34" s="29" t="str">
        <f>VLOOKUP(Colaboradores[[#This Row],[Localização]],Universos[],7,0)</f>
        <v>Zona 02</v>
      </c>
      <c r="N34" s="29" t="str">
        <f>VLOOKUP(Colaboradores[[#This Row],[Localização]],Universos[],6,0)</f>
        <v>1º andar</v>
      </c>
      <c r="O34" s="29" t="str">
        <f t="shared" si="0"/>
        <v>RS-BELAS</v>
      </c>
      <c r="P34" s="28" t="str">
        <f t="shared" si="1"/>
        <v>PRAIA DE BELAS</v>
      </c>
      <c r="Q34" s="45" t="s">
        <v>313</v>
      </c>
      <c r="R34" s="4" t="s">
        <v>265</v>
      </c>
    </row>
    <row r="35" spans="1:18" ht="24" customHeight="1" x14ac:dyDescent="0.25">
      <c r="A35" s="32" t="str">
        <f>"F" &amp;TEXT(ROW(Colaboradores[[#This Row],[Email]])-3,"0000")</f>
        <v>F0032</v>
      </c>
      <c r="B35" s="1" t="str">
        <f>LOWER(SUBSTITUTE(Colaboradores[[#This Row],[Nome]]," ",".")&amp;"@decathlon.com")</f>
        <v>rafael.flores@decathlon.com</v>
      </c>
      <c r="C35" s="17" t="str">
        <f>IF(COUNTIF(Colaboradores[Email],Colaboradores[[#This Row],[Email]])&gt;1,"Erro Duplicidade","")</f>
        <v/>
      </c>
      <c r="D35" s="3" t="s">
        <v>155</v>
      </c>
      <c r="E35" s="7" t="s">
        <v>260</v>
      </c>
      <c r="F35" s="18" t="str">
        <f>IF(ISERROR(VLOOKUP(Colaboradores[[#This Row],[Função]],Funcoes[],1,0))=TRUE,"Não Cadastrado","")</f>
        <v/>
      </c>
      <c r="G35" s="1"/>
      <c r="H35" s="17"/>
      <c r="I35" s="4" t="s">
        <v>265</v>
      </c>
      <c r="J35" s="3" t="s">
        <v>305</v>
      </c>
      <c r="K35" s="27" t="str">
        <f>IF(Colaboradores[[#This Row],[Nome]]="","",IF(ISERROR(VLOOKUP(Colaboradores[[#This Row],[Localização]],Universos[],1,0)) = FALSE,"","Não Cadastrado"))</f>
        <v/>
      </c>
      <c r="L35" s="28" t="str">
        <f>VLOOKUP(Colaboradores[[#This Row],[Localização]],Universos[],3,0)</f>
        <v>Água</v>
      </c>
      <c r="M35" s="29" t="str">
        <f>VLOOKUP(Colaboradores[[#This Row],[Localização]],Universos[],7,0)</f>
        <v>Zona 02</v>
      </c>
      <c r="N35" s="29" t="str">
        <f>VLOOKUP(Colaboradores[[#This Row],[Localização]],Universos[],6,0)</f>
        <v>1º andar</v>
      </c>
      <c r="O35" s="29" t="str">
        <f t="shared" si="0"/>
        <v>RS-BELAS</v>
      </c>
      <c r="P35" s="28" t="str">
        <f t="shared" si="1"/>
        <v>PRAIA DE BELAS</v>
      </c>
      <c r="Q35" s="45" t="s">
        <v>313</v>
      </c>
      <c r="R35" s="4" t="s">
        <v>265</v>
      </c>
    </row>
    <row r="36" spans="1:18" ht="24" customHeight="1" x14ac:dyDescent="0.25">
      <c r="A36" s="32" t="str">
        <f>"F" &amp;TEXT(ROW(Colaboradores[[#This Row],[Email]])-3,"0000")</f>
        <v>F0033</v>
      </c>
      <c r="B36" s="1" t="str">
        <f>LOWER(SUBSTITUTE(Colaboradores[[#This Row],[Nome]]," ",".")&amp;"@decathlon.com")</f>
        <v>gabriel.behs.pinheio@decathlon.com</v>
      </c>
      <c r="C36" s="17" t="str">
        <f>IF(COUNTIF(Colaboradores[Email],Colaboradores[[#This Row],[Email]])&gt;1,"Erro Duplicidade","")</f>
        <v/>
      </c>
      <c r="D36" s="3" t="s">
        <v>157</v>
      </c>
      <c r="E36" s="7" t="s">
        <v>260</v>
      </c>
      <c r="F36" s="18" t="str">
        <f>IF(ISERROR(VLOOKUP(Colaboradores[[#This Row],[Função]],Funcoes[],1,0))=TRUE,"Não Cadastrado","")</f>
        <v/>
      </c>
      <c r="G36" s="1"/>
      <c r="H36" s="17"/>
      <c r="I36" s="4" t="s">
        <v>265</v>
      </c>
      <c r="J36" s="3" t="s">
        <v>305</v>
      </c>
      <c r="K36" s="27" t="str">
        <f>IF(Colaboradores[[#This Row],[Nome]]="","",IF(ISERROR(VLOOKUP(Colaboradores[[#This Row],[Localização]],Universos[],1,0)) = FALSE,"","Não Cadastrado"))</f>
        <v/>
      </c>
      <c r="L36" s="28" t="str">
        <f>VLOOKUP(Colaboradores[[#This Row],[Localização]],Universos[],3,0)</f>
        <v>Água</v>
      </c>
      <c r="M36" s="29" t="str">
        <f>VLOOKUP(Colaboradores[[#This Row],[Localização]],Universos[],7,0)</f>
        <v>Zona 02</v>
      </c>
      <c r="N36" s="29" t="str">
        <f>VLOOKUP(Colaboradores[[#This Row],[Localização]],Universos[],6,0)</f>
        <v>1º andar</v>
      </c>
      <c r="O36" s="29" t="str">
        <f t="shared" si="0"/>
        <v>RS-BELAS</v>
      </c>
      <c r="P36" s="28" t="str">
        <f t="shared" si="1"/>
        <v>PRAIA DE BELAS</v>
      </c>
      <c r="Q36" s="45" t="s">
        <v>314</v>
      </c>
      <c r="R36" s="4" t="s">
        <v>265</v>
      </c>
    </row>
    <row r="37" spans="1:18" ht="24" customHeight="1" x14ac:dyDescent="0.25">
      <c r="A37" s="32" t="str">
        <f>"F" &amp;TEXT(ROW(Colaboradores[[#This Row],[Email]])-3,"0000")</f>
        <v>F0034</v>
      </c>
      <c r="B37" s="1" t="str">
        <f>LOWER(SUBSTITUTE(Colaboradores[[#This Row],[Nome]]," ",".")&amp;"@decathlon.com")</f>
        <v>jonathas.campos@decathlon.com</v>
      </c>
      <c r="C37" s="17" t="str">
        <f>IF(COUNTIF(Colaboradores[Email],Colaboradores[[#This Row],[Email]])&gt;1,"Erro Duplicidade","")</f>
        <v/>
      </c>
      <c r="D37" s="3" t="s">
        <v>141</v>
      </c>
      <c r="E37" s="7" t="s">
        <v>260</v>
      </c>
      <c r="F37" s="18" t="str">
        <f>IF(ISERROR(VLOOKUP(Colaboradores[[#This Row],[Função]],Funcoes[],1,0))=TRUE,"Não Cadastrado","")</f>
        <v/>
      </c>
      <c r="G37" s="1"/>
      <c r="H37" s="17"/>
      <c r="I37" s="4" t="s">
        <v>265</v>
      </c>
      <c r="J37" s="3" t="s">
        <v>306</v>
      </c>
      <c r="K37" s="27" t="str">
        <f>IF(Colaboradores[[#This Row],[Nome]]="","",IF(ISERROR(VLOOKUP(Colaboradores[[#This Row],[Localização]],Universos[],1,0)) = FALSE,"","Não Cadastrado"))</f>
        <v/>
      </c>
      <c r="L37" s="28" t="str">
        <f>VLOOKUP(Colaboradores[[#This Row],[Localização]],Universos[],3,0)</f>
        <v>Gerentes</v>
      </c>
      <c r="M37" s="29" t="str">
        <f>VLOOKUP(Colaboradores[[#This Row],[Localização]],Universos[],7,0)</f>
        <v>Loja</v>
      </c>
      <c r="N37" s="29" t="str">
        <f>VLOOKUP(Colaboradores[[#This Row],[Localização]],Universos[],6,0)</f>
        <v>1º andar</v>
      </c>
      <c r="O37" s="29" t="str">
        <f t="shared" si="0"/>
        <v>RS-BELAS</v>
      </c>
      <c r="P37" s="28" t="str">
        <f t="shared" si="1"/>
        <v>PRAIA DE BELAS</v>
      </c>
      <c r="Q37" s="45" t="s">
        <v>313</v>
      </c>
      <c r="R37" s="4" t="s">
        <v>265</v>
      </c>
    </row>
    <row r="38" spans="1:18" ht="24" customHeight="1" x14ac:dyDescent="0.25">
      <c r="A38" s="32" t="str">
        <f>"F" &amp;TEXT(ROW(Colaboradores[[#This Row],[Email]])-3,"0000")</f>
        <v>F0035</v>
      </c>
      <c r="B38" s="1" t="str">
        <f>LOWER(SUBSTITUTE(Colaboradores[[#This Row],[Nome]]," ",".")&amp;"@decathlon.com")</f>
        <v>alessandra.carriero@decathlon.com</v>
      </c>
      <c r="C38" s="17" t="str">
        <f>IF(COUNTIF(Colaboradores[Email],Colaboradores[[#This Row],[Email]])&gt;1,"Erro Duplicidade","")</f>
        <v/>
      </c>
      <c r="D38" s="3" t="s">
        <v>144</v>
      </c>
      <c r="E38" s="3" t="s">
        <v>261</v>
      </c>
      <c r="F38" s="17" t="str">
        <f>IF(ISERROR(VLOOKUP(Colaboradores[[#This Row],[Função]],Funcoes[],1,0))=TRUE,"Não Cadastrado","")</f>
        <v/>
      </c>
      <c r="G38" s="1"/>
      <c r="H38" s="17"/>
      <c r="I38" s="4" t="s">
        <v>265</v>
      </c>
      <c r="J38" s="3" t="s">
        <v>306</v>
      </c>
      <c r="K38" s="27" t="str">
        <f>IF(Colaboradores[[#This Row],[Nome]]="","",IF(ISERROR(VLOOKUP(Colaboradores[[#This Row],[Localização]],Universos[],1,0)) = FALSE,"","Não Cadastrado"))</f>
        <v/>
      </c>
      <c r="L38" s="28" t="str">
        <f>VLOOKUP(Colaboradores[[#This Row],[Localização]],Universos[],3,0)</f>
        <v>Gerentes</v>
      </c>
      <c r="M38" s="29" t="str">
        <f>VLOOKUP(Colaboradores[[#This Row],[Localização]],Universos[],7,0)</f>
        <v>Loja</v>
      </c>
      <c r="N38" s="29" t="str">
        <f>VLOOKUP(Colaboradores[[#This Row],[Localização]],Universos[],6,0)</f>
        <v>1º andar</v>
      </c>
      <c r="O38" s="29" t="str">
        <f t="shared" si="0"/>
        <v>RS-BELAS</v>
      </c>
      <c r="P38" s="28" t="str">
        <f t="shared" si="1"/>
        <v>PRAIA DE BELAS</v>
      </c>
      <c r="Q38" s="45" t="s">
        <v>313</v>
      </c>
      <c r="R38" s="4" t="s">
        <v>265</v>
      </c>
    </row>
    <row r="39" spans="1:18" ht="24" customHeight="1" x14ac:dyDescent="0.25">
      <c r="A39" s="32" t="str">
        <f>"F" &amp;TEXT(ROW(Colaboradores[[#This Row],[Email]])-3,"0000")</f>
        <v>F0036</v>
      </c>
      <c r="B39" s="1" t="str">
        <f>LOWER(SUBSTITUTE(Colaboradores[[#This Row],[Nome]]," ",".")&amp;"@decathlon.com")</f>
        <v>igor.bitencourt@decathlon.com</v>
      </c>
      <c r="C39" s="17" t="str">
        <f>IF(COUNTIF(Colaboradores[Email],Colaboradores[[#This Row],[Email]])&gt;1,"Erro Duplicidade","")</f>
        <v/>
      </c>
      <c r="D39" s="3" t="s">
        <v>146</v>
      </c>
      <c r="E39" s="3" t="s">
        <v>261</v>
      </c>
      <c r="F39" s="17" t="str">
        <f>IF(ISERROR(VLOOKUP(Colaboradores[[#This Row],[Função]],Funcoes[],1,0))=TRUE,"Não Cadastrado","")</f>
        <v/>
      </c>
      <c r="G39" s="1"/>
      <c r="H39" s="17"/>
      <c r="I39" s="4" t="s">
        <v>265</v>
      </c>
      <c r="J39" s="3" t="s">
        <v>306</v>
      </c>
      <c r="K39" s="27" t="str">
        <f>IF(Colaboradores[[#This Row],[Nome]]="","",IF(ISERROR(VLOOKUP(Colaboradores[[#This Row],[Localização]],Universos[],1,0)) = FALSE,"","Não Cadastrado"))</f>
        <v/>
      </c>
      <c r="L39" s="28" t="str">
        <f>VLOOKUP(Colaboradores[[#This Row],[Localização]],Universos[],3,0)</f>
        <v>Gerentes</v>
      </c>
      <c r="M39" s="29" t="str">
        <f>VLOOKUP(Colaboradores[[#This Row],[Localização]],Universos[],7,0)</f>
        <v>Loja</v>
      </c>
      <c r="N39" s="29" t="str">
        <f>VLOOKUP(Colaboradores[[#This Row],[Localização]],Universos[],6,0)</f>
        <v>1º andar</v>
      </c>
      <c r="O39" s="29" t="str">
        <f t="shared" si="0"/>
        <v>RS-BELAS</v>
      </c>
      <c r="P39" s="28" t="str">
        <f t="shared" si="1"/>
        <v>PRAIA DE BELAS</v>
      </c>
      <c r="Q39" s="45" t="s">
        <v>314</v>
      </c>
      <c r="R39" s="4" t="s">
        <v>265</v>
      </c>
    </row>
    <row r="40" spans="1:18" ht="24" customHeight="1" x14ac:dyDescent="0.25">
      <c r="A40" s="32" t="str">
        <f>"F" &amp;TEXT(ROW(Colaboradores[[#This Row],[Email]])-3,"0000")</f>
        <v>F0037</v>
      </c>
      <c r="B40" s="1" t="str">
        <f>LOWER(SUBSTITUTE(Colaboradores[[#This Row],[Nome]]," ",".")&amp;"@decathlon.com")</f>
        <v>rafael.marquez@decathlon.com</v>
      </c>
      <c r="C40" s="17" t="str">
        <f>IF(COUNTIF(Colaboradores[Email],Colaboradores[[#This Row],[Email]])&gt;1,"Erro Duplicidade","")</f>
        <v/>
      </c>
      <c r="D40" s="3" t="s">
        <v>149</v>
      </c>
      <c r="E40" s="3" t="s">
        <v>261</v>
      </c>
      <c r="F40" s="17" t="str">
        <f>IF(ISERROR(VLOOKUP(Colaboradores[[#This Row],[Função]],Funcoes[],1,0))=TRUE,"Não Cadastrado","")</f>
        <v/>
      </c>
      <c r="G40" s="1"/>
      <c r="H40" s="17"/>
      <c r="I40" s="4" t="s">
        <v>265</v>
      </c>
      <c r="J40" s="3" t="s">
        <v>306</v>
      </c>
      <c r="K40" s="27" t="str">
        <f>IF(Colaboradores[[#This Row],[Nome]]="","",IF(ISERROR(VLOOKUP(Colaboradores[[#This Row],[Localização]],Universos[],1,0)) = FALSE,"","Não Cadastrado"))</f>
        <v/>
      </c>
      <c r="L40" s="28" t="str">
        <f>VLOOKUP(Colaboradores[[#This Row],[Localização]],Universos[],3,0)</f>
        <v>Gerentes</v>
      </c>
      <c r="M40" s="29" t="str">
        <f>VLOOKUP(Colaboradores[[#This Row],[Localização]],Universos[],7,0)</f>
        <v>Loja</v>
      </c>
      <c r="N40" s="29" t="str">
        <f>VLOOKUP(Colaboradores[[#This Row],[Localização]],Universos[],6,0)</f>
        <v>1º andar</v>
      </c>
      <c r="O40" s="29" t="str">
        <f t="shared" si="0"/>
        <v>RS-BELAS</v>
      </c>
      <c r="P40" s="28" t="str">
        <f t="shared" si="1"/>
        <v>PRAIA DE BELAS</v>
      </c>
      <c r="Q40" s="45" t="s">
        <v>313</v>
      </c>
      <c r="R40" s="4" t="s">
        <v>265</v>
      </c>
    </row>
    <row r="41" spans="1:18" ht="24" customHeight="1" x14ac:dyDescent="0.25">
      <c r="A41" s="32" t="str">
        <f>"F" &amp;TEXT(ROW(Colaboradores[[#This Row],[Email]])-3,"0000")</f>
        <v>F0038</v>
      </c>
      <c r="B41" s="1" t="str">
        <f>LOWER(SUBSTITUTE(Colaboradores[[#This Row],[Nome]]," ",".")&amp;"@decathlon.com")</f>
        <v>danilo.tomasi@decathlon.com</v>
      </c>
      <c r="C41" s="17" t="str">
        <f>IF(COUNTIF(Colaboradores[Email],Colaboradores[[#This Row],[Email]])&gt;1,"Erro Duplicidade","")</f>
        <v/>
      </c>
      <c r="D41" s="3" t="s">
        <v>152</v>
      </c>
      <c r="E41" s="3" t="s">
        <v>261</v>
      </c>
      <c r="F41" s="17" t="str">
        <f>IF(ISERROR(VLOOKUP(Colaboradores[[#This Row],[Função]],Funcoes[],1,0))=TRUE,"Não Cadastrado","")</f>
        <v/>
      </c>
      <c r="G41" s="1"/>
      <c r="H41" s="17"/>
      <c r="I41" s="4" t="s">
        <v>265</v>
      </c>
      <c r="J41" s="3" t="s">
        <v>306</v>
      </c>
      <c r="K41" s="27" t="str">
        <f>IF(Colaboradores[[#This Row],[Nome]]="","",IF(ISERROR(VLOOKUP(Colaboradores[[#This Row],[Localização]],Universos[],1,0)) = FALSE,"","Não Cadastrado"))</f>
        <v/>
      </c>
      <c r="L41" s="28" t="str">
        <f>VLOOKUP(Colaboradores[[#This Row],[Localização]],Universos[],3,0)</f>
        <v>Gerentes</v>
      </c>
      <c r="M41" s="29" t="str">
        <f>VLOOKUP(Colaboradores[[#This Row],[Localização]],Universos[],7,0)</f>
        <v>Loja</v>
      </c>
      <c r="N41" s="29" t="str">
        <f>VLOOKUP(Colaboradores[[#This Row],[Localização]],Universos[],6,0)</f>
        <v>1º andar</v>
      </c>
      <c r="O41" s="29" t="str">
        <f t="shared" si="0"/>
        <v>RS-BELAS</v>
      </c>
      <c r="P41" s="28" t="str">
        <f t="shared" si="1"/>
        <v>PRAIA DE BELAS</v>
      </c>
      <c r="Q41" s="45" t="s">
        <v>313</v>
      </c>
      <c r="R41" s="4" t="s">
        <v>265</v>
      </c>
    </row>
    <row r="42" spans="1:18" ht="24" customHeight="1" x14ac:dyDescent="0.25">
      <c r="A42" s="32" t="str">
        <f>"F" &amp;TEXT(ROW(Colaboradores[[#This Row],[Email]])-3,"0000")</f>
        <v>F0039</v>
      </c>
      <c r="B42" s="1" t="str">
        <f>LOWER(SUBSTITUTE(Colaboradores[[#This Row],[Nome]]," ",".")&amp;"@decathlon.com")</f>
        <v>jonas.freitas@decathlon.com</v>
      </c>
      <c r="C42" s="17" t="str">
        <f>IF(COUNTIF(Colaboradores[Email],Colaboradores[[#This Row],[Email]])&gt;1,"Erro Duplicidade","")</f>
        <v/>
      </c>
      <c r="D42" s="3" t="s">
        <v>154</v>
      </c>
      <c r="E42" s="3" t="s">
        <v>261</v>
      </c>
      <c r="F42" s="17" t="str">
        <f>IF(ISERROR(VLOOKUP(Colaboradores[[#This Row],[Função]],Funcoes[],1,0))=TRUE,"Não Cadastrado","")</f>
        <v/>
      </c>
      <c r="G42" s="1"/>
      <c r="H42" s="17" t="s">
        <v>265</v>
      </c>
      <c r="I42" s="4" t="s">
        <v>265</v>
      </c>
      <c r="J42" s="3" t="s">
        <v>306</v>
      </c>
      <c r="K42" s="27" t="str">
        <f>IF(Colaboradores[[#This Row],[Nome]]="","",IF(ISERROR(VLOOKUP(Colaboradores[[#This Row],[Localização]],Universos[],1,0)) = FALSE,"","Não Cadastrado"))</f>
        <v/>
      </c>
      <c r="L42" s="28" t="str">
        <f>VLOOKUP(Colaboradores[[#This Row],[Localização]],Universos[],3,0)</f>
        <v>Gerentes</v>
      </c>
      <c r="M42" s="29" t="str">
        <f>VLOOKUP(Colaboradores[[#This Row],[Localização]],Universos[],7,0)</f>
        <v>Loja</v>
      </c>
      <c r="N42" s="29" t="str">
        <f>VLOOKUP(Colaboradores[[#This Row],[Localização]],Universos[],6,0)</f>
        <v>1º andar</v>
      </c>
      <c r="O42" s="29" t="str">
        <f t="shared" si="0"/>
        <v>RS-BELAS</v>
      </c>
      <c r="P42" s="28" t="str">
        <f t="shared" si="1"/>
        <v>PRAIA DE BELAS</v>
      </c>
      <c r="Q42" s="45" t="s">
        <v>314</v>
      </c>
      <c r="R42" s="4" t="s">
        <v>265</v>
      </c>
    </row>
    <row r="43" spans="1:18" ht="24" customHeight="1" x14ac:dyDescent="0.25">
      <c r="A43" s="32" t="str">
        <f>"F" &amp;TEXT(ROW(Colaboradores[[#This Row],[Email]])-3,"0000")</f>
        <v>F0040</v>
      </c>
      <c r="B43" s="1" t="str">
        <f>LOWER(SUBSTITUTE(Colaboradores[[#This Row],[Nome]]," ",".")&amp;"@decathlon.com")</f>
        <v>rodolfo.souza@decathlon.com</v>
      </c>
      <c r="C43" s="17" t="str">
        <f>IF(COUNTIF(Colaboradores[Email],Colaboradores[[#This Row],[Email]])&gt;1,"Erro Duplicidade","")</f>
        <v/>
      </c>
      <c r="D43" s="3" t="s">
        <v>156</v>
      </c>
      <c r="E43" s="3" t="s">
        <v>261</v>
      </c>
      <c r="F43" s="17" t="str">
        <f>IF(ISERROR(VLOOKUP(Colaboradores[[#This Row],[Função]],Funcoes[],1,0))=TRUE,"Não Cadastrado","")</f>
        <v/>
      </c>
      <c r="G43" s="1"/>
      <c r="H43" s="17"/>
      <c r="I43" s="4" t="s">
        <v>265</v>
      </c>
      <c r="J43" s="3" t="s">
        <v>306</v>
      </c>
      <c r="K43" s="27" t="str">
        <f>IF(Colaboradores[[#This Row],[Nome]]="","",IF(ISERROR(VLOOKUP(Colaboradores[[#This Row],[Localização]],Universos[],1,0)) = FALSE,"","Não Cadastrado"))</f>
        <v/>
      </c>
      <c r="L43" s="28" t="str">
        <f>VLOOKUP(Colaboradores[[#This Row],[Localização]],Universos[],3,0)</f>
        <v>Gerentes</v>
      </c>
      <c r="M43" s="29" t="str">
        <f>VLOOKUP(Colaboradores[[#This Row],[Localização]],Universos[],7,0)</f>
        <v>Loja</v>
      </c>
      <c r="N43" s="29" t="str">
        <f>VLOOKUP(Colaboradores[[#This Row],[Localização]],Universos[],6,0)</f>
        <v>1º andar</v>
      </c>
      <c r="O43" s="29" t="str">
        <f t="shared" si="0"/>
        <v>RS-BELAS</v>
      </c>
      <c r="P43" s="28" t="str">
        <f t="shared" si="1"/>
        <v>PRAIA DE BELAS</v>
      </c>
      <c r="Q43" s="45" t="s">
        <v>313</v>
      </c>
      <c r="R43" s="4" t="s">
        <v>265</v>
      </c>
    </row>
    <row r="44" spans="1:18" ht="24" customHeight="1" x14ac:dyDescent="0.25">
      <c r="A44" s="32" t="str">
        <f>"F" &amp;TEXT(ROW(Colaboradores[[#This Row],[Email]])-3,"0000")</f>
        <v>F0041</v>
      </c>
      <c r="B44" s="1" t="str">
        <f>LOWER(SUBSTITUTE(Colaboradores[[#This Row],[Nome]]," ",".")&amp;"@decathlon.com")</f>
        <v>bruno.savi@decathlon.com</v>
      </c>
      <c r="C44" s="17" t="str">
        <f>IF(COUNTIF(Colaboradores[Email],Colaboradores[[#This Row],[Email]])&gt;1,"Erro Duplicidade","")</f>
        <v/>
      </c>
      <c r="D44" s="3" t="s">
        <v>158</v>
      </c>
      <c r="E44" s="3" t="s">
        <v>261</v>
      </c>
      <c r="F44" s="17" t="str">
        <f>IF(ISERROR(VLOOKUP(Colaboradores[[#This Row],[Função]],Funcoes[],1,0))=TRUE,"Não Cadastrado","")</f>
        <v/>
      </c>
      <c r="G44" s="1"/>
      <c r="H44" s="17"/>
      <c r="I44" s="4"/>
      <c r="J44" s="3" t="s">
        <v>306</v>
      </c>
      <c r="K44" s="27" t="str">
        <f>IF(Colaboradores[[#This Row],[Nome]]="","",IF(ISERROR(VLOOKUP(Colaboradores[[#This Row],[Localização]],Universos[],1,0)) = FALSE,"","Não Cadastrado"))</f>
        <v/>
      </c>
      <c r="L44" s="28" t="str">
        <f>VLOOKUP(Colaboradores[[#This Row],[Localização]],Universos[],3,0)</f>
        <v>Gerentes</v>
      </c>
      <c r="M44" s="29" t="str">
        <f>VLOOKUP(Colaboradores[[#This Row],[Localização]],Universos[],7,0)</f>
        <v>Loja</v>
      </c>
      <c r="N44" s="29" t="str">
        <f>VLOOKUP(Colaboradores[[#This Row],[Localização]],Universos[],6,0)</f>
        <v>1º andar</v>
      </c>
      <c r="O44" s="29" t="str">
        <f t="shared" si="0"/>
        <v>RS-BELAS</v>
      </c>
      <c r="P44" s="28" t="str">
        <f t="shared" si="1"/>
        <v>PRAIA DE BELAS</v>
      </c>
      <c r="Q44" s="45" t="s">
        <v>313</v>
      </c>
      <c r="R44" s="4" t="s">
        <v>265</v>
      </c>
    </row>
    <row r="45" spans="1:18" ht="24" customHeight="1" x14ac:dyDescent="0.25">
      <c r="A45" s="32" t="str">
        <f>"F" &amp;TEXT(ROW(Colaboradores[[#This Row],[Email]])-3,"0000")</f>
        <v>F0042</v>
      </c>
      <c r="B45" s="1" t="str">
        <f>LOWER(SUBSTITUTE(Colaboradores[[#This Row],[Nome]]," ",".")&amp;"@decathlon.com")</f>
        <v>roberta.borba@decathlon.com</v>
      </c>
      <c r="C45" s="17" t="str">
        <f>IF(COUNTIF(Colaboradores[Email],Colaboradores[[#This Row],[Email]])&gt;1,"Erro Duplicidade","")</f>
        <v/>
      </c>
      <c r="D45" s="3" t="s">
        <v>159</v>
      </c>
      <c r="E45" s="3" t="s">
        <v>261</v>
      </c>
      <c r="F45" s="17" t="str">
        <f>IF(ISERROR(VLOOKUP(Colaboradores[[#This Row],[Função]],Funcoes[],1,0))=TRUE,"Não Cadastrado","")</f>
        <v/>
      </c>
      <c r="G45" s="1"/>
      <c r="H45" s="17" t="s">
        <v>265</v>
      </c>
      <c r="I45" s="4" t="s">
        <v>265</v>
      </c>
      <c r="J45" s="3" t="s">
        <v>306</v>
      </c>
      <c r="K45" s="27" t="str">
        <f>IF(Colaboradores[[#This Row],[Nome]]="","",IF(ISERROR(VLOOKUP(Colaboradores[[#This Row],[Localização]],Universos[],1,0)) = FALSE,"","Não Cadastrado"))</f>
        <v/>
      </c>
      <c r="L45" s="28" t="str">
        <f>VLOOKUP(Colaboradores[[#This Row],[Localização]],Universos[],3,0)</f>
        <v>Gerentes</v>
      </c>
      <c r="M45" s="29" t="str">
        <f>VLOOKUP(Colaboradores[[#This Row],[Localização]],Universos[],7,0)</f>
        <v>Loja</v>
      </c>
      <c r="N45" s="29" t="str">
        <f>VLOOKUP(Colaboradores[[#This Row],[Localização]],Universos[],6,0)</f>
        <v>1º andar</v>
      </c>
      <c r="O45" s="29" t="str">
        <f t="shared" si="0"/>
        <v>RS-BELAS</v>
      </c>
      <c r="P45" s="28" t="str">
        <f t="shared" si="1"/>
        <v>PRAIA DE BELAS</v>
      </c>
      <c r="Q45" s="45" t="s">
        <v>313</v>
      </c>
      <c r="R45" s="4" t="s">
        <v>265</v>
      </c>
    </row>
    <row r="46" spans="1:18" ht="24" customHeight="1" x14ac:dyDescent="0.25">
      <c r="A46" s="32" t="str">
        <f>"F" &amp;TEXT(ROW(Colaboradores[[#This Row],[Email]])-3,"0000")</f>
        <v>F0043</v>
      </c>
      <c r="B46" s="14" t="str">
        <f>LOWER(SUBSTITUTE(Colaboradores[[#This Row],[Nome]]," ",".")&amp;"@decathlon.com")</f>
        <v>vanessa.cavalcanti@decathlon.com</v>
      </c>
      <c r="C46" s="19" t="str">
        <f>IF(COUNTIF(Colaboradores[Email],Colaboradores[[#This Row],[Email]])&gt;1,"Erro Duplicidade","")</f>
        <v/>
      </c>
      <c r="D46" s="3" t="s">
        <v>161</v>
      </c>
      <c r="E46" s="3" t="s">
        <v>260</v>
      </c>
      <c r="F46" s="17" t="str">
        <f>IF(ISERROR(VLOOKUP(Colaboradores[[#This Row],[Função]],Funcoes[],1,0))=TRUE,"Não Cadastrado","")</f>
        <v/>
      </c>
      <c r="G46" s="1"/>
      <c r="H46" s="17"/>
      <c r="I46" s="4" t="s">
        <v>265</v>
      </c>
      <c r="J46" s="3" t="s">
        <v>307</v>
      </c>
      <c r="K46" s="27" t="str">
        <f>IF(Colaboradores[[#This Row],[Nome]]="","",IF(ISERROR(VLOOKUP(Colaboradores[[#This Row],[Localização]],Universos[],1,0)) = FALSE,"","Não Cadastrado"))</f>
        <v/>
      </c>
      <c r="L46" s="28" t="str">
        <f>VLOOKUP(Colaboradores[[#This Row],[Localização]],Universos[],3,0)</f>
        <v>Raquetes</v>
      </c>
      <c r="M46" s="29" t="str">
        <f>VLOOKUP(Colaboradores[[#This Row],[Localização]],Universos[],7,0)</f>
        <v>Zona 03</v>
      </c>
      <c r="N46" s="29" t="str">
        <f>VLOOKUP(Colaboradores[[#This Row],[Localização]],Universos[],6,0)</f>
        <v>1º andar</v>
      </c>
      <c r="O46" s="29" t="str">
        <f t="shared" si="0"/>
        <v>RS-BELAS</v>
      </c>
      <c r="P46" s="28" t="str">
        <f t="shared" si="1"/>
        <v>PRAIA DE BELAS</v>
      </c>
      <c r="Q46" s="45" t="s">
        <v>314</v>
      </c>
      <c r="R46" s="4" t="s">
        <v>265</v>
      </c>
    </row>
    <row r="47" spans="1:18" ht="24" customHeight="1" x14ac:dyDescent="0.25">
      <c r="A47" s="32" t="str">
        <f>"F" &amp;TEXT(ROW(Colaboradores[[#This Row],[Email]])-3,"0000")</f>
        <v>F0044</v>
      </c>
      <c r="B47" s="14" t="str">
        <f>LOWER(SUBSTITUTE(Colaboradores[[#This Row],[Nome]]," ",".")&amp;"@decathlon.com")</f>
        <v>ezequiel.inácio@decathlon.com</v>
      </c>
      <c r="C47" s="19" t="str">
        <f>IF(COUNTIF(Colaboradores[Email],Colaboradores[[#This Row],[Email]])&gt;1,"Erro Duplicidade","")</f>
        <v/>
      </c>
      <c r="D47" s="3" t="s">
        <v>163</v>
      </c>
      <c r="E47" s="3" t="s">
        <v>260</v>
      </c>
      <c r="F47" s="17" t="str">
        <f>IF(ISERROR(VLOOKUP(Colaboradores[[#This Row],[Função]],Funcoes[],1,0))=TRUE,"Não Cadastrado","")</f>
        <v/>
      </c>
      <c r="G47" s="1"/>
      <c r="H47" s="17"/>
      <c r="I47" s="4" t="s">
        <v>265</v>
      </c>
      <c r="J47" s="3" t="s">
        <v>307</v>
      </c>
      <c r="K47" s="27" t="str">
        <f>IF(Colaboradores[[#This Row],[Nome]]="","",IF(ISERROR(VLOOKUP(Colaboradores[[#This Row],[Localização]],Universos[],1,0)) = FALSE,"","Não Cadastrado"))</f>
        <v/>
      </c>
      <c r="L47" s="28" t="str">
        <f>VLOOKUP(Colaboradores[[#This Row],[Localização]],Universos[],3,0)</f>
        <v>Raquetes</v>
      </c>
      <c r="M47" s="29" t="str">
        <f>VLOOKUP(Colaboradores[[#This Row],[Localização]],Universos[],7,0)</f>
        <v>Zona 03</v>
      </c>
      <c r="N47" s="29" t="str">
        <f>VLOOKUP(Colaboradores[[#This Row],[Localização]],Universos[],6,0)</f>
        <v>1º andar</v>
      </c>
      <c r="O47" s="29" t="str">
        <f t="shared" si="0"/>
        <v>RS-BELAS</v>
      </c>
      <c r="P47" s="28" t="str">
        <f t="shared" si="1"/>
        <v>PRAIA DE BELAS</v>
      </c>
      <c r="Q47" s="45" t="s">
        <v>313</v>
      </c>
      <c r="R47" s="4" t="s">
        <v>265</v>
      </c>
    </row>
    <row r="48" spans="1:18" ht="24" customHeight="1" x14ac:dyDescent="0.25">
      <c r="A48" s="32" t="str">
        <f>"F" &amp;TEXT(ROW(Colaboradores[[#This Row],[Email]])-3,"0000")</f>
        <v>F0045</v>
      </c>
      <c r="B48" s="14" t="str">
        <f>LOWER(SUBSTITUTE(Colaboradores[[#This Row],[Nome]]," ",".")&amp;"@decathlon.com")</f>
        <v>andrik.peres@decathlon.com</v>
      </c>
      <c r="C48" s="19" t="str">
        <f>IF(COUNTIF(Colaboradores[Email],Colaboradores[[#This Row],[Email]])&gt;1,"Erro Duplicidade","")</f>
        <v/>
      </c>
      <c r="D48" s="3" t="s">
        <v>165</v>
      </c>
      <c r="E48" s="3" t="s">
        <v>260</v>
      </c>
      <c r="F48" s="17" t="str">
        <f>IF(ISERROR(VLOOKUP(Colaboradores[[#This Row],[Função]],Funcoes[],1,0))=TRUE,"Não Cadastrado","")</f>
        <v/>
      </c>
      <c r="G48" s="1"/>
      <c r="H48" s="17"/>
      <c r="I48" s="4"/>
      <c r="J48" s="3" t="s">
        <v>307</v>
      </c>
      <c r="K48" s="27" t="str">
        <f>IF(Colaboradores[[#This Row],[Nome]]="","",IF(ISERROR(VLOOKUP(Colaboradores[[#This Row],[Localização]],Universos[],1,0)) = FALSE,"","Não Cadastrado"))</f>
        <v/>
      </c>
      <c r="L48" s="28" t="str">
        <f>VLOOKUP(Colaboradores[[#This Row],[Localização]],Universos[],3,0)</f>
        <v>Raquetes</v>
      </c>
      <c r="M48" s="29" t="str">
        <f>VLOOKUP(Colaboradores[[#This Row],[Localização]],Universos[],7,0)</f>
        <v>Zona 03</v>
      </c>
      <c r="N48" s="29" t="str">
        <f>VLOOKUP(Colaboradores[[#This Row],[Localização]],Universos[],6,0)</f>
        <v>1º andar</v>
      </c>
      <c r="O48" s="29" t="str">
        <f t="shared" si="0"/>
        <v>RS-BELAS</v>
      </c>
      <c r="P48" s="28" t="str">
        <f t="shared" si="1"/>
        <v>PRAIA DE BELAS</v>
      </c>
      <c r="Q48" s="45" t="s">
        <v>313</v>
      </c>
      <c r="R48" s="4" t="s">
        <v>265</v>
      </c>
    </row>
  </sheetData>
  <conditionalFormatting sqref="I4:I48">
    <cfRule type="cellIs" dxfId="34" priority="15" operator="equal">
      <formula>"Sim"</formula>
    </cfRule>
    <cfRule type="cellIs" dxfId="33" priority="18" operator="equal">
      <formula>"Sim"</formula>
    </cfRule>
  </conditionalFormatting>
  <conditionalFormatting sqref="K4:M48">
    <cfRule type="cellIs" dxfId="32" priority="17" operator="equal">
      <formula>"Não Cadastrado"</formula>
    </cfRule>
  </conditionalFormatting>
  <conditionalFormatting sqref="C4:C48">
    <cfRule type="cellIs" dxfId="31" priority="16" operator="equal">
      <formula>"Erro Duplicidade"</formula>
    </cfRule>
  </conditionalFormatting>
  <conditionalFormatting sqref="F4:F48">
    <cfRule type="cellIs" dxfId="30" priority="12" operator="equal">
      <formula>"Não Cadastrado"</formula>
    </cfRule>
  </conditionalFormatting>
  <conditionalFormatting sqref="H4:H48">
    <cfRule type="cellIs" dxfId="29" priority="10" operator="equal">
      <formula>"Sim"</formula>
    </cfRule>
    <cfRule type="cellIs" dxfId="28" priority="11" operator="equal">
      <formula>"Sim"</formula>
    </cfRule>
  </conditionalFormatting>
  <conditionalFormatting sqref="H4:H48">
    <cfRule type="cellIs" dxfId="27" priority="9" operator="equal">
      <formula>"sim"</formula>
    </cfRule>
  </conditionalFormatting>
  <conditionalFormatting sqref="Q3:Q48">
    <cfRule type="cellIs" dxfId="26" priority="7" operator="equal">
      <formula>"Ausente"</formula>
    </cfRule>
    <cfRule type="cellIs" dxfId="25" priority="8" operator="equal">
      <formula>"Presente"</formula>
    </cfRule>
  </conditionalFormatting>
  <conditionalFormatting sqref="R3">
    <cfRule type="cellIs" dxfId="24" priority="5" operator="equal">
      <formula>"Ausente"</formula>
    </cfRule>
    <cfRule type="cellIs" dxfId="23" priority="6" operator="equal">
      <formula>"Presente"</formula>
    </cfRule>
  </conditionalFormatting>
  <conditionalFormatting sqref="R4:R48">
    <cfRule type="cellIs" dxfId="22" priority="1" operator="equal">
      <formula>"Não"</formula>
    </cfRule>
    <cfRule type="cellIs" dxfId="21" priority="2" operator="equal">
      <formula>"Sim"</formula>
    </cfRule>
  </conditionalFormatting>
  <dataValidations count="2">
    <dataValidation type="list" allowBlank="1" showInputMessage="1" showErrorMessage="1" sqref="H4:I48 R4:R48" xr:uid="{6D45A747-E7AE-4A8C-8BC5-6617A1EC21E4}">
      <formula1>"Sim,Não"</formula1>
    </dataValidation>
    <dataValidation type="list" allowBlank="1" showInputMessage="1" showErrorMessage="1" sqref="Q4:Q48" xr:uid="{5391EA0D-D782-4682-9ACA-45C6CDE38CB7}">
      <formula1>"Presente,Ausente"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2F43A2-6A58-4850-BFCA-03D21C579B56}">
          <x14:formula1>
            <xm:f>'Config Loja'!$G$6:$G$29</xm:f>
          </x14:formula1>
          <xm:sqref>E4:E48</xm:sqref>
        </x14:dataValidation>
        <x14:dataValidation type="list" allowBlank="1" showInputMessage="1" showErrorMessage="1" xr:uid="{00445C9B-E63B-47CB-8F76-543DDC0F3F2F}">
          <x14:formula1>
            <xm:f>'Config Loja'!$N$6:$N$33</xm:f>
          </x14:formula1>
          <xm:sqref>J4:J48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38A2B-3DAB-427D-8DF3-96004FE869B8}">
  <sheetPr codeName="TERCEIROS"/>
  <dimension ref="A1:P9"/>
  <sheetViews>
    <sheetView showGridLines="0" workbookViewId="0">
      <pane ySplit="3" topLeftCell="A4" activePane="bottomLeft" state="frozen"/>
      <selection pane="bottomLeft"/>
    </sheetView>
  </sheetViews>
  <sheetFormatPr defaultRowHeight="24" customHeight="1" x14ac:dyDescent="0.25"/>
  <cols>
    <col min="1" max="1" width="8.28515625" style="4" customWidth="1"/>
    <col min="2" max="2" width="28.42578125" style="3" customWidth="1"/>
    <col min="3" max="3" width="25" style="3" customWidth="1"/>
    <col min="4" max="4" width="16.7109375" style="4" bestFit="1" customWidth="1"/>
    <col min="5" max="5" width="22.7109375" style="3" customWidth="1"/>
    <col min="6" max="6" width="24.140625" style="3" customWidth="1"/>
    <col min="7" max="7" width="14.28515625" style="17" bestFit="1" customWidth="1"/>
    <col min="8" max="8" width="36" style="4" bestFit="1" customWidth="1"/>
    <col min="9" max="9" width="16.7109375" style="20" bestFit="1" customWidth="1"/>
    <col min="10" max="10" width="11.42578125" style="3" customWidth="1"/>
    <col min="11" max="11" width="10.85546875" style="4" bestFit="1" customWidth="1"/>
    <col min="12" max="12" width="11.42578125" style="4" bestFit="1" customWidth="1"/>
    <col min="13" max="13" width="19.85546875" style="3" customWidth="1"/>
    <col min="14" max="14" width="15" style="3" bestFit="1" customWidth="1"/>
    <col min="15" max="16" width="11" style="3" bestFit="1" customWidth="1"/>
    <col min="17" max="16384" width="9.140625" style="3"/>
  </cols>
  <sheetData>
    <row r="1" spans="1:16" ht="24" customHeight="1" x14ac:dyDescent="0.25">
      <c r="A1" s="31" t="s">
        <v>271</v>
      </c>
      <c r="C1" s="38" t="s">
        <v>296</v>
      </c>
      <c r="D1" s="39">
        <f>COUNTA(Terceiros[ID])</f>
        <v>6</v>
      </c>
    </row>
    <row r="2" spans="1:16" ht="24" customHeight="1" x14ac:dyDescent="0.25">
      <c r="A2" s="1" t="s">
        <v>317</v>
      </c>
    </row>
    <row r="3" spans="1:16" s="4" customFormat="1" ht="24" customHeight="1" x14ac:dyDescent="0.25">
      <c r="A3" s="5" t="s">
        <v>255</v>
      </c>
      <c r="B3" s="4" t="s">
        <v>257</v>
      </c>
      <c r="C3" s="4" t="s">
        <v>258</v>
      </c>
      <c r="D3" s="30" t="s">
        <v>279</v>
      </c>
      <c r="E3" s="4" t="s">
        <v>47</v>
      </c>
      <c r="F3" s="4" t="s">
        <v>298</v>
      </c>
      <c r="G3" s="4" t="s">
        <v>259</v>
      </c>
      <c r="H3" s="4" t="s">
        <v>275</v>
      </c>
      <c r="I3" s="16" t="s">
        <v>280</v>
      </c>
      <c r="J3" s="5" t="s">
        <v>237</v>
      </c>
      <c r="K3" s="5" t="s">
        <v>224</v>
      </c>
      <c r="L3" s="5" t="s">
        <v>219</v>
      </c>
      <c r="M3" s="5" t="s">
        <v>216</v>
      </c>
      <c r="N3" s="5" t="s">
        <v>46</v>
      </c>
      <c r="O3" s="46" t="s">
        <v>312</v>
      </c>
      <c r="P3" s="46" t="s">
        <v>315</v>
      </c>
    </row>
    <row r="4" spans="1:16" ht="24" customHeight="1" x14ac:dyDescent="0.25">
      <c r="A4" s="32" t="str">
        <f>"T"&amp;TEXT(ROW(Terceiros[[#This Row],[Nome]])-3,"0000")</f>
        <v>T0001</v>
      </c>
      <c r="B4" s="3" t="s">
        <v>160</v>
      </c>
      <c r="C4" s="3" t="s">
        <v>267</v>
      </c>
      <c r="D4" s="17" t="str">
        <f>IF(ISERROR(VLOOKUP(Terceiros[[#This Row],[Função]],Funcoes[],1,0))=TRUE,"Não Cadastrado","")</f>
        <v/>
      </c>
      <c r="E4" s="1"/>
      <c r="F4" s="17"/>
      <c r="G4" s="4" t="s">
        <v>265</v>
      </c>
      <c r="H4" s="3" t="s">
        <v>308</v>
      </c>
      <c r="I4" s="27" t="str">
        <f>IF(Terceiros[[#This Row],[Nome]]="","",IF(ISERROR(VLOOKUP(Terceiros[[#This Row],[Localização]],Universos[],1,0)) = FALSE,"","Não Cadastrado"))</f>
        <v/>
      </c>
      <c r="J4" s="28" t="str">
        <f>VLOOKUP(Terceiros[[#This Row],[Localização]],Universos[],3,0)</f>
        <v>Serviços</v>
      </c>
      <c r="K4" s="29" t="str">
        <f>VLOOKUP(Terceiros[[#This Row],[Localização]],Universos[],7,0)</f>
        <v>Zona 04</v>
      </c>
      <c r="L4" s="29" t="str">
        <f>VLOOKUP(Terceiros[[#This Row],[Localização]],Universos[],6,0)</f>
        <v>1º andar</v>
      </c>
      <c r="M4" s="29" t="str">
        <f t="shared" ref="M4:M9" si="0">Esta_Loja_Sigla</f>
        <v>RS-BELAS</v>
      </c>
      <c r="N4" s="28" t="str">
        <f t="shared" ref="N4:N9" si="1">Esta_Loja</f>
        <v>PRAIA DE BELAS</v>
      </c>
      <c r="O4" s="43" t="s">
        <v>314</v>
      </c>
      <c r="P4" s="43" t="s">
        <v>265</v>
      </c>
    </row>
    <row r="5" spans="1:16" ht="24" customHeight="1" x14ac:dyDescent="0.25">
      <c r="A5" s="32" t="str">
        <f>"T"&amp;TEXT(ROW(Terceiros[[#This Row],[Nome]])-3,"0000")</f>
        <v>T0002</v>
      </c>
      <c r="B5" s="3" t="s">
        <v>162</v>
      </c>
      <c r="C5" s="3" t="s">
        <v>267</v>
      </c>
      <c r="D5" s="17" t="str">
        <f>IF(ISERROR(VLOOKUP(Terceiros[[#This Row],[Função]],Funcoes[],1,0))=TRUE,"Não Cadastrado","")</f>
        <v/>
      </c>
      <c r="E5" s="1"/>
      <c r="F5" s="17"/>
      <c r="G5" s="4" t="s">
        <v>265</v>
      </c>
      <c r="H5" s="3" t="s">
        <v>309</v>
      </c>
      <c r="I5" s="27" t="str">
        <f>IF(Terceiros[[#This Row],[Nome]]="","",IF(ISERROR(VLOOKUP(Terceiros[[#This Row],[Localização]],Universos[],1,0)) = FALSE,"","Não Cadastrado"))</f>
        <v/>
      </c>
      <c r="J5" s="28" t="str">
        <f>VLOOKUP(Terceiros[[#This Row],[Localização]],Universos[],3,0)</f>
        <v>Serviços</v>
      </c>
      <c r="K5" s="29" t="str">
        <f>VLOOKUP(Terceiros[[#This Row],[Localização]],Universos[],7,0)</f>
        <v>Zona 02</v>
      </c>
      <c r="L5" s="29" t="str">
        <f>VLOOKUP(Terceiros[[#This Row],[Localização]],Universos[],6,0)</f>
        <v>1º andar</v>
      </c>
      <c r="M5" s="29" t="str">
        <f t="shared" si="0"/>
        <v>RS-BELAS</v>
      </c>
      <c r="N5" s="28" t="str">
        <f t="shared" si="1"/>
        <v>PRAIA DE BELAS</v>
      </c>
      <c r="O5" s="43" t="s">
        <v>313</v>
      </c>
      <c r="P5" s="43" t="s">
        <v>265</v>
      </c>
    </row>
    <row r="6" spans="1:16" ht="24" customHeight="1" x14ac:dyDescent="0.25">
      <c r="A6" s="32" t="str">
        <f>"T"&amp;TEXT(ROW(Terceiros[[#This Row],[Nome]])-3,"0000")</f>
        <v>T0003</v>
      </c>
      <c r="B6" s="3" t="s">
        <v>164</v>
      </c>
      <c r="C6" s="3" t="s">
        <v>268</v>
      </c>
      <c r="D6" s="17" t="str">
        <f>IF(ISERROR(VLOOKUP(Terceiros[[#This Row],[Função]],Funcoes[],1,0))=TRUE,"Não Cadastrado","")</f>
        <v/>
      </c>
      <c r="E6" s="1"/>
      <c r="F6" s="17"/>
      <c r="G6" s="4" t="s">
        <v>265</v>
      </c>
      <c r="H6" s="3" t="s">
        <v>310</v>
      </c>
      <c r="I6" s="27" t="str">
        <f>IF(Terceiros[[#This Row],[Nome]]="","",IF(ISERROR(VLOOKUP(Terceiros[[#This Row],[Localização]],Universos[],1,0)) = FALSE,"","Não Cadastrado"))</f>
        <v/>
      </c>
      <c r="J6" s="28" t="str">
        <f>VLOOKUP(Terceiros[[#This Row],[Localização]],Universos[],3,0)</f>
        <v>Serviços</v>
      </c>
      <c r="K6" s="29" t="str">
        <f>VLOOKUP(Terceiros[[#This Row],[Localização]],Universos[],7,0)</f>
        <v>Zona 01</v>
      </c>
      <c r="L6" s="29" t="str">
        <f>VLOOKUP(Terceiros[[#This Row],[Localização]],Universos[],6,0)</f>
        <v>1º andar</v>
      </c>
      <c r="M6" s="29" t="str">
        <f t="shared" si="0"/>
        <v>RS-BELAS</v>
      </c>
      <c r="N6" s="28" t="str">
        <f t="shared" si="1"/>
        <v>PRAIA DE BELAS</v>
      </c>
      <c r="O6" s="43" t="s">
        <v>314</v>
      </c>
      <c r="P6" s="43" t="s">
        <v>265</v>
      </c>
    </row>
    <row r="7" spans="1:16" ht="24" customHeight="1" x14ac:dyDescent="0.25">
      <c r="A7" s="32" t="str">
        <f>"T"&amp;TEXT(ROW(Terceiros[[#This Row],[Nome]])-3,"0000")</f>
        <v>T0004</v>
      </c>
      <c r="B7" s="3" t="s">
        <v>166</v>
      </c>
      <c r="C7" s="3" t="s">
        <v>268</v>
      </c>
      <c r="D7" s="17" t="str">
        <f>IF(ISERROR(VLOOKUP(Terceiros[[#This Row],[Função]],Funcoes[],1,0))=TRUE,"Não Cadastrado","")</f>
        <v/>
      </c>
      <c r="E7" s="1"/>
      <c r="F7" s="17"/>
      <c r="G7" s="4" t="s">
        <v>265</v>
      </c>
      <c r="H7" s="3" t="s">
        <v>310</v>
      </c>
      <c r="I7" s="27" t="str">
        <f>IF(Terceiros[[#This Row],[Nome]]="","",IF(ISERROR(VLOOKUP(Terceiros[[#This Row],[Localização]],Universos[],1,0)) = FALSE,"","Não Cadastrado"))</f>
        <v/>
      </c>
      <c r="J7" s="28" t="str">
        <f>VLOOKUP(Terceiros[[#This Row],[Localização]],Universos[],3,0)</f>
        <v>Serviços</v>
      </c>
      <c r="K7" s="29" t="str">
        <f>VLOOKUP(Terceiros[[#This Row],[Localização]],Universos[],7,0)</f>
        <v>Zona 01</v>
      </c>
      <c r="L7" s="29" t="str">
        <f>VLOOKUP(Terceiros[[#This Row],[Localização]],Universos[],6,0)</f>
        <v>1º andar</v>
      </c>
      <c r="M7" s="29" t="str">
        <f t="shared" si="0"/>
        <v>RS-BELAS</v>
      </c>
      <c r="N7" s="28" t="str">
        <f t="shared" si="1"/>
        <v>PRAIA DE BELAS</v>
      </c>
      <c r="O7" s="43" t="s">
        <v>313</v>
      </c>
      <c r="P7" s="43" t="s">
        <v>265</v>
      </c>
    </row>
    <row r="8" spans="1:16" ht="24" customHeight="1" x14ac:dyDescent="0.25">
      <c r="A8" s="32" t="str">
        <f>"T"&amp;TEXT(ROW(Terceiros[[#This Row],[Nome]])-3,"0000")</f>
        <v>T0005</v>
      </c>
      <c r="B8" s="3" t="s">
        <v>167</v>
      </c>
      <c r="C8" s="3" t="s">
        <v>269</v>
      </c>
      <c r="D8" s="17" t="str">
        <f>IF(ISERROR(VLOOKUP(Terceiros[[#This Row],[Função]],Funcoes[],1,0))=TRUE,"Não Cadastrado","")</f>
        <v/>
      </c>
      <c r="E8" s="1"/>
      <c r="F8" s="17"/>
      <c r="G8" s="4" t="s">
        <v>265</v>
      </c>
      <c r="H8" s="3" t="s">
        <v>308</v>
      </c>
      <c r="I8" s="27" t="str">
        <f>IF(Terceiros[[#This Row],[Nome]]="","",IF(ISERROR(VLOOKUP(Terceiros[[#This Row],[Localização]],Universos[],1,0)) = FALSE,"","Não Cadastrado"))</f>
        <v/>
      </c>
      <c r="J8" s="28" t="str">
        <f>VLOOKUP(Terceiros[[#This Row],[Localização]],Universos[],3,0)</f>
        <v>Serviços</v>
      </c>
      <c r="K8" s="29" t="str">
        <f>VLOOKUP(Terceiros[[#This Row],[Localização]],Universos[],7,0)</f>
        <v>Zona 04</v>
      </c>
      <c r="L8" s="29" t="str">
        <f>VLOOKUP(Terceiros[[#This Row],[Localização]],Universos[],6,0)</f>
        <v>1º andar</v>
      </c>
      <c r="M8" s="29" t="str">
        <f t="shared" si="0"/>
        <v>RS-BELAS</v>
      </c>
      <c r="N8" s="28" t="str">
        <f t="shared" si="1"/>
        <v>PRAIA DE BELAS</v>
      </c>
      <c r="O8" s="43" t="s">
        <v>313</v>
      </c>
      <c r="P8" s="43" t="s">
        <v>265</v>
      </c>
    </row>
    <row r="9" spans="1:16" ht="24" customHeight="1" x14ac:dyDescent="0.25">
      <c r="A9" s="32" t="str">
        <f>"T"&amp;TEXT(ROW(Terceiros[[#This Row],[Nome]])-3,"0000")</f>
        <v>T0006</v>
      </c>
      <c r="B9" s="3" t="s">
        <v>168</v>
      </c>
      <c r="C9" s="3" t="s">
        <v>269</v>
      </c>
      <c r="D9" s="17" t="str">
        <f>IF(ISERROR(VLOOKUP(Terceiros[[#This Row],[Função]],Funcoes[],1,0))=TRUE,"Não Cadastrado","")</f>
        <v/>
      </c>
      <c r="E9" s="1"/>
      <c r="F9" s="17"/>
      <c r="G9" s="4" t="s">
        <v>265</v>
      </c>
      <c r="H9" s="3" t="s">
        <v>309</v>
      </c>
      <c r="I9" s="27" t="str">
        <f>IF(Terceiros[[#This Row],[Nome]]="","",IF(ISERROR(VLOOKUP(Terceiros[[#This Row],[Localização]],Universos[],1,0)) = FALSE,"","Não Cadastrado"))</f>
        <v/>
      </c>
      <c r="J9" s="28" t="str">
        <f>VLOOKUP(Terceiros[[#This Row],[Localização]],Universos[],3,0)</f>
        <v>Serviços</v>
      </c>
      <c r="K9" s="29" t="str">
        <f>VLOOKUP(Terceiros[[#This Row],[Localização]],Universos[],7,0)</f>
        <v>Zona 02</v>
      </c>
      <c r="L9" s="29" t="str">
        <f>VLOOKUP(Terceiros[[#This Row],[Localização]],Universos[],6,0)</f>
        <v>1º andar</v>
      </c>
      <c r="M9" s="29" t="str">
        <f t="shared" si="0"/>
        <v>RS-BELAS</v>
      </c>
      <c r="N9" s="28" t="str">
        <f t="shared" si="1"/>
        <v>PRAIA DE BELAS</v>
      </c>
      <c r="O9" s="43" t="s">
        <v>314</v>
      </c>
      <c r="P9" s="43" t="s">
        <v>265</v>
      </c>
    </row>
  </sheetData>
  <conditionalFormatting sqref="G4:G9">
    <cfRule type="cellIs" dxfId="20" priority="13" operator="equal">
      <formula>"Sim"</formula>
    </cfRule>
    <cfRule type="cellIs" dxfId="19" priority="16" operator="equal">
      <formula>"Sim"</formula>
    </cfRule>
  </conditionalFormatting>
  <conditionalFormatting sqref="I4:K9">
    <cfRule type="cellIs" dxfId="18" priority="15" operator="equal">
      <formula>"Não Cadastrado"</formula>
    </cfRule>
  </conditionalFormatting>
  <conditionalFormatting sqref="D4:D9">
    <cfRule type="cellIs" dxfId="17" priority="10" operator="equal">
      <formula>"Não Cadastrado"</formula>
    </cfRule>
  </conditionalFormatting>
  <conditionalFormatting sqref="F4:F9">
    <cfRule type="cellIs" dxfId="16" priority="8" operator="equal">
      <formula>"Sim"</formula>
    </cfRule>
    <cfRule type="cellIs" dxfId="15" priority="9" operator="equal">
      <formula>"Sim"</formula>
    </cfRule>
  </conditionalFormatting>
  <conditionalFormatting sqref="F4:F9">
    <cfRule type="cellIs" dxfId="14" priority="7" operator="equal">
      <formula>"sim"</formula>
    </cfRule>
  </conditionalFormatting>
  <conditionalFormatting sqref="O3:O9">
    <cfRule type="cellIs" dxfId="13" priority="5" operator="equal">
      <formula>"Ausente"</formula>
    </cfRule>
    <cfRule type="cellIs" dxfId="12" priority="6" operator="equal">
      <formula>"Presente"</formula>
    </cfRule>
  </conditionalFormatting>
  <conditionalFormatting sqref="P4:P9">
    <cfRule type="cellIs" dxfId="11" priority="1" operator="equal">
      <formula>"Não"</formula>
    </cfRule>
    <cfRule type="cellIs" dxfId="10" priority="2" operator="equal">
      <formula>"Sim"</formula>
    </cfRule>
  </conditionalFormatting>
  <conditionalFormatting sqref="P3">
    <cfRule type="cellIs" dxfId="9" priority="3" operator="equal">
      <formula>"Ausente"</formula>
    </cfRule>
    <cfRule type="cellIs" dxfId="8" priority="4" operator="equal">
      <formula>"Presente"</formula>
    </cfRule>
  </conditionalFormatting>
  <dataValidations count="2">
    <dataValidation type="list" allowBlank="1" showInputMessage="1" showErrorMessage="1" sqref="F4:G9 P4:P9" xr:uid="{E8629FAB-A935-421A-91C5-96A1783E9DBD}">
      <formula1>"Sim,Não"</formula1>
    </dataValidation>
    <dataValidation type="list" allowBlank="1" showInputMessage="1" showErrorMessage="1" sqref="O4:O9" xr:uid="{3C07D47C-7D84-4B15-93D4-D362198A1228}">
      <formula1>"Presente,Ausente"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4D40B6F-A991-49B6-A98D-9FB929A72FFA}">
          <x14:formula1>
            <xm:f>'Config Loja'!$G$6:$G$29</xm:f>
          </x14:formula1>
          <xm:sqref>C4:C9</xm:sqref>
        </x14:dataValidation>
        <x14:dataValidation type="list" allowBlank="1" showInputMessage="1" showErrorMessage="1" xr:uid="{07A0CCB8-6AD7-41DE-A644-13E5BEF60574}">
          <x14:formula1>
            <xm:f>'Config Loja'!$N$6:$N$33</xm:f>
          </x14:formula1>
          <xm:sqref>H4:H9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481CD-728D-49F7-939C-888D2D08A937}">
  <sheetPr codeName="VISITANTES"/>
  <dimension ref="A1:K9"/>
  <sheetViews>
    <sheetView showGridLines="0" workbookViewId="0">
      <pane ySplit="3" topLeftCell="A4" activePane="bottomLeft" state="frozen"/>
      <selection pane="bottomLeft"/>
    </sheetView>
  </sheetViews>
  <sheetFormatPr defaultRowHeight="24" customHeight="1" x14ac:dyDescent="0.25"/>
  <cols>
    <col min="1" max="1" width="8.28515625" style="4" customWidth="1"/>
    <col min="2" max="2" width="28.42578125" style="3" customWidth="1"/>
    <col min="3" max="3" width="24.140625" style="3" customWidth="1"/>
    <col min="4" max="4" width="38" style="17" customWidth="1"/>
    <col min="5" max="5" width="19" style="4" bestFit="1" customWidth="1"/>
    <col min="6" max="6" width="12.42578125" style="20" customWidth="1"/>
    <col min="7" max="7" width="9.85546875" style="3" bestFit="1" customWidth="1"/>
    <col min="8" max="8" width="10.85546875" style="4" bestFit="1" customWidth="1"/>
    <col min="9" max="9" width="11.42578125" style="4" bestFit="1" customWidth="1"/>
    <col min="10" max="10" width="19.85546875" style="3" customWidth="1"/>
    <col min="11" max="11" width="13.85546875" style="3" customWidth="1"/>
    <col min="12" max="12" width="25.42578125" style="3" customWidth="1"/>
    <col min="13" max="16384" width="9.140625" style="3"/>
  </cols>
  <sheetData>
    <row r="1" spans="1:11" ht="24" customHeight="1" x14ac:dyDescent="0.25">
      <c r="A1" s="31" t="s">
        <v>246</v>
      </c>
      <c r="C1" s="38" t="s">
        <v>296</v>
      </c>
      <c r="D1" s="39">
        <f>COUNTA(Terceiros12[ID])</f>
        <v>6</v>
      </c>
    </row>
    <row r="2" spans="1:11" ht="24" customHeight="1" x14ac:dyDescent="0.25">
      <c r="A2" s="1" t="s">
        <v>318</v>
      </c>
    </row>
    <row r="3" spans="1:11" ht="24" customHeight="1" x14ac:dyDescent="0.25">
      <c r="A3" s="5" t="s">
        <v>255</v>
      </c>
      <c r="B3" s="3" t="s">
        <v>257</v>
      </c>
      <c r="C3" s="3" t="s">
        <v>47</v>
      </c>
      <c r="D3" s="3" t="s">
        <v>275</v>
      </c>
      <c r="E3" s="16" t="s">
        <v>280</v>
      </c>
      <c r="F3" s="15" t="s">
        <v>237</v>
      </c>
      <c r="G3" s="5" t="s">
        <v>224</v>
      </c>
      <c r="H3" s="5" t="s">
        <v>219</v>
      </c>
      <c r="I3" s="15" t="s">
        <v>216</v>
      </c>
      <c r="J3" s="15" t="s">
        <v>46</v>
      </c>
      <c r="K3" s="46" t="s">
        <v>312</v>
      </c>
    </row>
    <row r="4" spans="1:11" ht="24" customHeight="1" x14ac:dyDescent="0.25">
      <c r="A4" s="32" t="str">
        <f>"V" &amp; TEXT(ROW(Terceiros12[[#This Row],[Nome]])-3,"0000")</f>
        <v>V0001</v>
      </c>
      <c r="B4" s="3" t="s">
        <v>281</v>
      </c>
      <c r="C4" s="1"/>
      <c r="D4" s="3" t="s">
        <v>311</v>
      </c>
      <c r="E4" s="27" t="str">
        <f>IF(Terceiros12[[#This Row],[Nome]]="","",IF(ISERROR(VLOOKUP(Terceiros12[[#This Row],[Localização]],Universos[],1,0)) = FALSE,"","Não Cadastrado"))</f>
        <v/>
      </c>
      <c r="F4" s="28" t="str">
        <f>VLOOKUP(Terceiros12[[#This Row],[Localização]],Universos[],3,0)</f>
        <v>Visitantes</v>
      </c>
      <c r="G4" s="29" t="str">
        <f>VLOOKUP(Terceiros12[[#This Row],[Localização]],Universos[],7,0)</f>
        <v>Loja</v>
      </c>
      <c r="H4" s="29" t="str">
        <f>VLOOKUP(Terceiros12[[#This Row],[Localização]],Universos[],6,0)</f>
        <v>1º andar</v>
      </c>
      <c r="I4" s="29" t="str">
        <f t="shared" ref="I4:I9" si="0">Esta_Loja_Sigla</f>
        <v>RS-BELAS</v>
      </c>
      <c r="J4" s="28" t="str">
        <f t="shared" ref="J4:J9" si="1">Esta_Loja</f>
        <v>PRAIA DE BELAS</v>
      </c>
      <c r="K4" s="43" t="s">
        <v>313</v>
      </c>
    </row>
    <row r="5" spans="1:11" ht="24" customHeight="1" x14ac:dyDescent="0.25">
      <c r="A5" s="32" t="str">
        <f>"V" &amp; TEXT(ROW(Terceiros12[[#This Row],[Nome]])-3,"0000")</f>
        <v>V0002</v>
      </c>
      <c r="B5" s="3" t="s">
        <v>282</v>
      </c>
      <c r="C5" s="1"/>
      <c r="D5" s="3" t="s">
        <v>311</v>
      </c>
      <c r="E5" s="27" t="str">
        <f>IF(Terceiros12[[#This Row],[Nome]]="","",IF(ISERROR(VLOOKUP(Terceiros12[[#This Row],[Localização]],Universos[],1,0)) = FALSE,"","Não Cadastrado"))</f>
        <v/>
      </c>
      <c r="F5" s="28" t="str">
        <f>VLOOKUP(Terceiros12[[#This Row],[Localização]],Universos[],3,0)</f>
        <v>Visitantes</v>
      </c>
      <c r="G5" s="29" t="str">
        <f>VLOOKUP(Terceiros12[[#This Row],[Localização]],Universos[],7,0)</f>
        <v>Loja</v>
      </c>
      <c r="H5" s="29" t="str">
        <f>VLOOKUP(Terceiros12[[#This Row],[Localização]],Universos[],6,0)</f>
        <v>1º andar</v>
      </c>
      <c r="I5" s="29" t="str">
        <f t="shared" si="0"/>
        <v>RS-BELAS</v>
      </c>
      <c r="J5" s="28" t="str">
        <f t="shared" si="1"/>
        <v>PRAIA DE BELAS</v>
      </c>
      <c r="K5" s="43" t="s">
        <v>314</v>
      </c>
    </row>
    <row r="6" spans="1:11" ht="24" customHeight="1" x14ac:dyDescent="0.25">
      <c r="A6" s="32" t="str">
        <f>"V" &amp; TEXT(ROW(Terceiros12[[#This Row],[Nome]])-3,"0000")</f>
        <v>V0003</v>
      </c>
      <c r="B6" s="3" t="s">
        <v>283</v>
      </c>
      <c r="C6" s="1"/>
      <c r="D6" s="3" t="s">
        <v>311</v>
      </c>
      <c r="E6" s="27" t="str">
        <f>IF(Terceiros12[[#This Row],[Nome]]="","",IF(ISERROR(VLOOKUP(Terceiros12[[#This Row],[Localização]],Universos[],1,0)) = FALSE,"","Não Cadastrado"))</f>
        <v/>
      </c>
      <c r="F6" s="28" t="str">
        <f>VLOOKUP(Terceiros12[[#This Row],[Localização]],Universos[],3,0)</f>
        <v>Visitantes</v>
      </c>
      <c r="G6" s="29" t="str">
        <f>VLOOKUP(Terceiros12[[#This Row],[Localização]],Universos[],7,0)</f>
        <v>Loja</v>
      </c>
      <c r="H6" s="29" t="str">
        <f>VLOOKUP(Terceiros12[[#This Row],[Localização]],Universos[],6,0)</f>
        <v>1º andar</v>
      </c>
      <c r="I6" s="29" t="str">
        <f t="shared" si="0"/>
        <v>RS-BELAS</v>
      </c>
      <c r="J6" s="28" t="str">
        <f t="shared" si="1"/>
        <v>PRAIA DE BELAS</v>
      </c>
      <c r="K6" s="43" t="s">
        <v>313</v>
      </c>
    </row>
    <row r="7" spans="1:11" ht="24" customHeight="1" x14ac:dyDescent="0.25">
      <c r="A7" s="32" t="str">
        <f>"V" &amp; TEXT(ROW(Terceiros12[[#This Row],[Nome]])-3,"0000")</f>
        <v>V0004</v>
      </c>
      <c r="B7" s="3" t="s">
        <v>284</v>
      </c>
      <c r="C7" s="1"/>
      <c r="D7" s="3" t="s">
        <v>311</v>
      </c>
      <c r="E7" s="27" t="str">
        <f>IF(Terceiros12[[#This Row],[Nome]]="","",IF(ISERROR(VLOOKUP(Terceiros12[[#This Row],[Localização]],Universos[],1,0)) = FALSE,"","Não Cadastrado"))</f>
        <v/>
      </c>
      <c r="F7" s="28" t="str">
        <f>VLOOKUP(Terceiros12[[#This Row],[Localização]],Universos[],3,0)</f>
        <v>Visitantes</v>
      </c>
      <c r="G7" s="29" t="str">
        <f>VLOOKUP(Terceiros12[[#This Row],[Localização]],Universos[],7,0)</f>
        <v>Loja</v>
      </c>
      <c r="H7" s="29" t="str">
        <f>VLOOKUP(Terceiros12[[#This Row],[Localização]],Universos[],6,0)</f>
        <v>1º andar</v>
      </c>
      <c r="I7" s="29" t="str">
        <f t="shared" si="0"/>
        <v>RS-BELAS</v>
      </c>
      <c r="J7" s="28" t="str">
        <f t="shared" si="1"/>
        <v>PRAIA DE BELAS</v>
      </c>
      <c r="K7" s="43" t="s">
        <v>313</v>
      </c>
    </row>
    <row r="8" spans="1:11" ht="24" customHeight="1" x14ac:dyDescent="0.25">
      <c r="A8" s="32" t="str">
        <f>"V" &amp; TEXT(ROW(Terceiros12[[#This Row],[Nome]])-3,"0000")</f>
        <v>V0005</v>
      </c>
      <c r="B8" s="3" t="s">
        <v>285</v>
      </c>
      <c r="C8" s="1"/>
      <c r="D8" s="3" t="s">
        <v>311</v>
      </c>
      <c r="E8" s="27" t="str">
        <f>IF(Terceiros12[[#This Row],[Nome]]="","",IF(ISERROR(VLOOKUP(Terceiros12[[#This Row],[Localização]],Universos[],1,0)) = FALSE,"","Não Cadastrado"))</f>
        <v/>
      </c>
      <c r="F8" s="28" t="str">
        <f>VLOOKUP(Terceiros12[[#This Row],[Localização]],Universos[],3,0)</f>
        <v>Visitantes</v>
      </c>
      <c r="G8" s="29" t="str">
        <f>VLOOKUP(Terceiros12[[#This Row],[Localização]],Universos[],7,0)</f>
        <v>Loja</v>
      </c>
      <c r="H8" s="29" t="str">
        <f>VLOOKUP(Terceiros12[[#This Row],[Localização]],Universos[],6,0)</f>
        <v>1º andar</v>
      </c>
      <c r="I8" s="29" t="str">
        <f t="shared" si="0"/>
        <v>RS-BELAS</v>
      </c>
      <c r="J8" s="28" t="str">
        <f t="shared" si="1"/>
        <v>PRAIA DE BELAS</v>
      </c>
      <c r="K8" s="43" t="s">
        <v>314</v>
      </c>
    </row>
    <row r="9" spans="1:11" ht="24" customHeight="1" x14ac:dyDescent="0.25">
      <c r="A9" s="32" t="str">
        <f>"V" &amp; TEXT(ROW(Terceiros12[[#This Row],[Nome]])-3,"0000")</f>
        <v>V0006</v>
      </c>
      <c r="B9" s="3" t="s">
        <v>286</v>
      </c>
      <c r="C9" s="1"/>
      <c r="D9" s="3" t="s">
        <v>311</v>
      </c>
      <c r="E9" s="27" t="str">
        <f>IF(Terceiros12[[#This Row],[Nome]]="","",IF(ISERROR(VLOOKUP(Terceiros12[[#This Row],[Localização]],Universos[],1,0)) = FALSE,"","Não Cadastrado"))</f>
        <v/>
      </c>
      <c r="F9" s="28" t="str">
        <f>VLOOKUP(Terceiros12[[#This Row],[Localização]],Universos[],3,0)</f>
        <v>Visitantes</v>
      </c>
      <c r="G9" s="29" t="str">
        <f>VLOOKUP(Terceiros12[[#This Row],[Localização]],Universos[],7,0)</f>
        <v>Loja</v>
      </c>
      <c r="H9" s="29" t="str">
        <f>VLOOKUP(Terceiros12[[#This Row],[Localização]],Universos[],6,0)</f>
        <v>1º andar</v>
      </c>
      <c r="I9" s="29" t="str">
        <f t="shared" si="0"/>
        <v>RS-BELAS</v>
      </c>
      <c r="J9" s="28" t="str">
        <f t="shared" si="1"/>
        <v>PRAIA DE BELAS</v>
      </c>
      <c r="K9" s="43" t="s">
        <v>313</v>
      </c>
    </row>
  </sheetData>
  <phoneticPr fontId="3" type="noConversion"/>
  <conditionalFormatting sqref="E4:G9">
    <cfRule type="cellIs" dxfId="7" priority="5" operator="equal">
      <formula>"Não Cadastrado"</formula>
    </cfRule>
  </conditionalFormatting>
  <conditionalFormatting sqref="K3:K9">
    <cfRule type="cellIs" dxfId="6" priority="1" operator="equal">
      <formula>"Ausente"</formula>
    </cfRule>
    <cfRule type="cellIs" dxfId="5" priority="2" operator="equal">
      <formula>"Presente"</formula>
    </cfRule>
  </conditionalFormatting>
  <dataValidations count="1">
    <dataValidation type="list" allowBlank="1" showInputMessage="1" showErrorMessage="1" sqref="K4:K9" xr:uid="{3AB747B8-8A76-45FF-8A08-E793B52072C2}">
      <formula1>"Presente,Ausente"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B60EC8-7787-4B13-A9B9-09F8B5EFAA32}">
          <x14:formula1>
            <xm:f>'Config Loja'!$N$6:$N$33</xm:f>
          </x14:formula1>
          <xm:sqref>D4:D9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1646-1BB0-4ADD-90F7-763FCEEEE6FC}">
  <sheetPr codeName="LOJAS"/>
  <dimension ref="A1:J36"/>
  <sheetViews>
    <sheetView showGridLines="0" workbookViewId="0">
      <pane xSplit="2" ySplit="5" topLeftCell="C6" activePane="bottomRight" state="frozen"/>
      <selection pane="topRight" activeCell="C1" sqref="C1"/>
      <selection pane="bottomLeft" activeCell="A2" sqref="A2"/>
      <selection pane="bottomRight" activeCell="A26" sqref="A26"/>
    </sheetView>
  </sheetViews>
  <sheetFormatPr defaultRowHeight="24.75" customHeight="1" x14ac:dyDescent="0.25"/>
  <cols>
    <col min="1" max="1" width="11.140625" style="3" bestFit="1" customWidth="1"/>
    <col min="2" max="2" width="25.85546875" style="1" bestFit="1" customWidth="1"/>
    <col min="3" max="3" width="64.42578125" style="1" customWidth="1"/>
    <col min="4" max="4" width="25.85546875" style="1" bestFit="1" customWidth="1"/>
    <col min="5" max="5" width="8.85546875" style="4" customWidth="1"/>
    <col min="6" max="6" width="13.7109375" style="1" bestFit="1" customWidth="1"/>
    <col min="7" max="7" width="63.85546875" style="1" customWidth="1"/>
    <col min="8" max="8" width="80.85546875" style="1" bestFit="1" customWidth="1"/>
    <col min="9" max="9" width="25.42578125" style="1" customWidth="1"/>
    <col min="10" max="10" width="9.140625" style="1"/>
    <col min="11" max="16384" width="9.140625" style="3"/>
  </cols>
  <sheetData>
    <row r="1" spans="1:8" ht="24.75" customHeight="1" x14ac:dyDescent="0.25">
      <c r="A1" s="13" t="s">
        <v>217</v>
      </c>
    </row>
    <row r="2" spans="1:8" ht="6" customHeight="1" x14ac:dyDescent="0.25"/>
    <row r="3" spans="1:8" ht="24.75" customHeight="1" x14ac:dyDescent="0.25">
      <c r="A3" s="21" t="s">
        <v>270</v>
      </c>
      <c r="B3" s="36" t="s">
        <v>204</v>
      </c>
      <c r="C3" s="22" t="str">
        <f>IFERROR(VLOOKUP(Esta_Loja_Sigla,Lojas[],2,0),"Não Cadastrada")</f>
        <v>PRAIA DE BELAS</v>
      </c>
    </row>
    <row r="4" spans="1:8" ht="13.5" customHeight="1" x14ac:dyDescent="0.25"/>
    <row r="5" spans="1:8" ht="24.75" customHeight="1" x14ac:dyDescent="0.25">
      <c r="A5" s="3" t="s">
        <v>50</v>
      </c>
      <c r="B5" s="3" t="s">
        <v>46</v>
      </c>
      <c r="C5" s="3" t="s">
        <v>117</v>
      </c>
      <c r="D5" s="3" t="s">
        <v>48</v>
      </c>
      <c r="E5" s="4" t="s">
        <v>49</v>
      </c>
      <c r="F5" s="3" t="s">
        <v>47</v>
      </c>
      <c r="G5" s="3" t="s">
        <v>118</v>
      </c>
      <c r="H5" s="3" t="s">
        <v>215</v>
      </c>
    </row>
    <row r="6" spans="1:8" ht="24.75" customHeight="1" x14ac:dyDescent="0.25">
      <c r="A6" s="3" t="s">
        <v>184</v>
      </c>
      <c r="B6" s="1" t="s">
        <v>51</v>
      </c>
      <c r="C6" s="1" t="s">
        <v>0</v>
      </c>
      <c r="D6" s="1" t="s">
        <v>169</v>
      </c>
      <c r="E6" s="4" t="s">
        <v>170</v>
      </c>
      <c r="F6" s="1" t="s">
        <v>52</v>
      </c>
      <c r="G6" s="1" t="s">
        <v>1</v>
      </c>
    </row>
    <row r="7" spans="1:8" ht="24.75" customHeight="1" x14ac:dyDescent="0.25">
      <c r="A7" s="3" t="s">
        <v>185</v>
      </c>
      <c r="B7" s="1" t="s">
        <v>116</v>
      </c>
      <c r="C7" s="1" t="s">
        <v>2</v>
      </c>
      <c r="D7" s="1" t="s">
        <v>178</v>
      </c>
      <c r="E7" s="4" t="s">
        <v>170</v>
      </c>
      <c r="F7" s="1" t="s">
        <v>53</v>
      </c>
      <c r="G7" s="1" t="s">
        <v>3</v>
      </c>
    </row>
    <row r="8" spans="1:8" ht="24.75" customHeight="1" x14ac:dyDescent="0.25">
      <c r="A8" s="3" t="s">
        <v>186</v>
      </c>
      <c r="B8" s="1" t="s">
        <v>54</v>
      </c>
      <c r="C8" s="1" t="s">
        <v>4</v>
      </c>
      <c r="D8" s="1" t="s">
        <v>179</v>
      </c>
      <c r="E8" s="4" t="s">
        <v>171</v>
      </c>
      <c r="F8" s="1" t="s">
        <v>55</v>
      </c>
      <c r="G8" s="1" t="s">
        <v>5</v>
      </c>
    </row>
    <row r="9" spans="1:8" ht="24.75" customHeight="1" x14ac:dyDescent="0.25">
      <c r="A9" s="3" t="s">
        <v>187</v>
      </c>
      <c r="B9" s="1" t="s">
        <v>56</v>
      </c>
      <c r="C9" s="1" t="s">
        <v>6</v>
      </c>
      <c r="D9" s="1" t="s">
        <v>180</v>
      </c>
      <c r="E9" s="4" t="s">
        <v>172</v>
      </c>
      <c r="F9" s="1" t="s">
        <v>57</v>
      </c>
      <c r="G9" s="1" t="s">
        <v>7</v>
      </c>
    </row>
    <row r="10" spans="1:8" ht="24.75" customHeight="1" x14ac:dyDescent="0.25">
      <c r="A10" s="3" t="s">
        <v>190</v>
      </c>
      <c r="B10" s="1" t="s">
        <v>58</v>
      </c>
      <c r="C10" s="1" t="s">
        <v>8</v>
      </c>
      <c r="D10" s="1" t="s">
        <v>58</v>
      </c>
      <c r="E10" s="4" t="s">
        <v>173</v>
      </c>
      <c r="F10" s="1" t="s">
        <v>59</v>
      </c>
      <c r="G10" s="1" t="s">
        <v>9</v>
      </c>
    </row>
    <row r="11" spans="1:8" ht="24.75" customHeight="1" x14ac:dyDescent="0.25">
      <c r="A11" s="3" t="s">
        <v>189</v>
      </c>
      <c r="B11" s="1" t="s">
        <v>60</v>
      </c>
      <c r="C11" s="1" t="s">
        <v>10</v>
      </c>
      <c r="D11" s="1" t="s">
        <v>60</v>
      </c>
      <c r="E11" s="4" t="s">
        <v>170</v>
      </c>
      <c r="F11" s="1" t="s">
        <v>61</v>
      </c>
      <c r="G11" s="1" t="s">
        <v>5</v>
      </c>
    </row>
    <row r="12" spans="1:8" ht="24.75" customHeight="1" x14ac:dyDescent="0.25">
      <c r="A12" s="3" t="s">
        <v>188</v>
      </c>
      <c r="B12" s="1" t="s">
        <v>62</v>
      </c>
      <c r="C12" s="1" t="s">
        <v>11</v>
      </c>
      <c r="D12" s="1" t="s">
        <v>60</v>
      </c>
      <c r="E12" s="4" t="s">
        <v>170</v>
      </c>
      <c r="F12" s="1" t="s">
        <v>63</v>
      </c>
      <c r="G12" s="1" t="s">
        <v>1</v>
      </c>
    </row>
    <row r="13" spans="1:8" ht="24.75" customHeight="1" x14ac:dyDescent="0.25">
      <c r="A13" s="3" t="s">
        <v>191</v>
      </c>
      <c r="B13" s="1" t="s">
        <v>110</v>
      </c>
      <c r="C13" s="1" t="s">
        <v>12</v>
      </c>
      <c r="D13" s="1" t="s">
        <v>64</v>
      </c>
      <c r="E13" s="4" t="s">
        <v>174</v>
      </c>
      <c r="F13" s="1" t="s">
        <v>65</v>
      </c>
      <c r="G13" s="1" t="s">
        <v>3</v>
      </c>
    </row>
    <row r="14" spans="1:8" ht="24.75" customHeight="1" x14ac:dyDescent="0.25">
      <c r="A14" s="3" t="s">
        <v>192</v>
      </c>
      <c r="B14" s="1" t="s">
        <v>111</v>
      </c>
      <c r="C14" s="1" t="s">
        <v>13</v>
      </c>
      <c r="D14" s="1" t="s">
        <v>66</v>
      </c>
      <c r="E14" s="4" t="s">
        <v>175</v>
      </c>
      <c r="F14" s="1" t="s">
        <v>67</v>
      </c>
      <c r="G14" s="1" t="s">
        <v>3</v>
      </c>
    </row>
    <row r="15" spans="1:8" ht="24.75" customHeight="1" x14ac:dyDescent="0.25">
      <c r="A15" s="3" t="s">
        <v>193</v>
      </c>
      <c r="B15" s="1" t="s">
        <v>68</v>
      </c>
      <c r="C15" s="1" t="s">
        <v>14</v>
      </c>
      <c r="D15" s="1" t="s">
        <v>68</v>
      </c>
      <c r="E15" s="4" t="s">
        <v>174</v>
      </c>
      <c r="F15" s="1" t="s">
        <v>69</v>
      </c>
      <c r="G15" s="1" t="s">
        <v>15</v>
      </c>
    </row>
    <row r="16" spans="1:8" ht="24.75" customHeight="1" x14ac:dyDescent="0.25">
      <c r="A16" s="3" t="s">
        <v>194</v>
      </c>
      <c r="B16" s="1" t="s">
        <v>112</v>
      </c>
      <c r="C16" s="1" t="s">
        <v>16</v>
      </c>
      <c r="D16" s="1" t="s">
        <v>182</v>
      </c>
      <c r="E16" s="4" t="s">
        <v>170</v>
      </c>
      <c r="F16" s="1" t="s">
        <v>70</v>
      </c>
      <c r="G16" s="1" t="s">
        <v>17</v>
      </c>
    </row>
    <row r="17" spans="1:7" ht="24.75" customHeight="1" x14ac:dyDescent="0.25">
      <c r="A17" s="3" t="s">
        <v>195</v>
      </c>
      <c r="B17" s="1" t="s">
        <v>71</v>
      </c>
      <c r="C17" s="1" t="s">
        <v>18</v>
      </c>
      <c r="D17" s="1" t="s">
        <v>178</v>
      </c>
      <c r="E17" s="4" t="s">
        <v>170</v>
      </c>
      <c r="F17" s="1" t="s">
        <v>72</v>
      </c>
      <c r="G17" s="1" t="s">
        <v>3</v>
      </c>
    </row>
    <row r="18" spans="1:7" ht="24.75" customHeight="1" x14ac:dyDescent="0.25">
      <c r="A18" s="3" t="s">
        <v>196</v>
      </c>
      <c r="B18" s="1" t="s">
        <v>73</v>
      </c>
      <c r="C18" s="1" t="s">
        <v>19</v>
      </c>
      <c r="D18" s="1" t="s">
        <v>73</v>
      </c>
      <c r="E18" s="4" t="s">
        <v>171</v>
      </c>
      <c r="F18" s="1" t="s">
        <v>74</v>
      </c>
      <c r="G18" s="1" t="s">
        <v>3</v>
      </c>
    </row>
    <row r="19" spans="1:7" ht="24.75" customHeight="1" x14ac:dyDescent="0.25">
      <c r="A19" s="3" t="s">
        <v>197</v>
      </c>
      <c r="B19" s="1" t="s">
        <v>113</v>
      </c>
      <c r="C19" s="1" t="s">
        <v>20</v>
      </c>
      <c r="D19" s="1" t="s">
        <v>178</v>
      </c>
      <c r="E19" s="4" t="s">
        <v>170</v>
      </c>
      <c r="F19" s="1" t="s">
        <v>75</v>
      </c>
      <c r="G19" s="1" t="s">
        <v>3</v>
      </c>
    </row>
    <row r="20" spans="1:7" ht="24.75" customHeight="1" x14ac:dyDescent="0.25">
      <c r="A20" s="3" t="s">
        <v>198</v>
      </c>
      <c r="B20" s="1" t="s">
        <v>76</v>
      </c>
      <c r="C20" s="1" t="s">
        <v>21</v>
      </c>
      <c r="D20" s="1" t="s">
        <v>76</v>
      </c>
      <c r="E20" s="4" t="s">
        <v>170</v>
      </c>
      <c r="F20" s="1" t="s">
        <v>77</v>
      </c>
      <c r="G20" s="1" t="s">
        <v>22</v>
      </c>
    </row>
    <row r="21" spans="1:7" ht="24.75" customHeight="1" x14ac:dyDescent="0.25">
      <c r="A21" s="3" t="s">
        <v>199</v>
      </c>
      <c r="B21" s="1" t="s">
        <v>78</v>
      </c>
      <c r="C21" s="1" t="s">
        <v>23</v>
      </c>
      <c r="D21" s="1" t="s">
        <v>178</v>
      </c>
      <c r="E21" s="4" t="s">
        <v>170</v>
      </c>
      <c r="F21" s="1" t="s">
        <v>79</v>
      </c>
      <c r="G21" s="1" t="s">
        <v>5</v>
      </c>
    </row>
    <row r="22" spans="1:7" ht="24.75" customHeight="1" x14ac:dyDescent="0.25">
      <c r="A22" s="3" t="s">
        <v>200</v>
      </c>
      <c r="B22" s="1" t="s">
        <v>80</v>
      </c>
      <c r="C22" s="1" t="s">
        <v>24</v>
      </c>
      <c r="D22" s="1" t="s">
        <v>181</v>
      </c>
      <c r="E22" s="4" t="s">
        <v>176</v>
      </c>
      <c r="F22" s="1" t="s">
        <v>81</v>
      </c>
      <c r="G22" s="1" t="s">
        <v>3</v>
      </c>
    </row>
    <row r="23" spans="1:7" ht="24.75" customHeight="1" x14ac:dyDescent="0.25">
      <c r="A23" s="3" t="s">
        <v>201</v>
      </c>
      <c r="B23" s="1" t="s">
        <v>82</v>
      </c>
      <c r="C23" s="1" t="s">
        <v>25</v>
      </c>
      <c r="D23" s="1" t="s">
        <v>180</v>
      </c>
      <c r="E23" s="4" t="s">
        <v>172</v>
      </c>
      <c r="F23" s="1" t="s">
        <v>83</v>
      </c>
      <c r="G23" s="1" t="s">
        <v>26</v>
      </c>
    </row>
    <row r="24" spans="1:7" ht="24.75" customHeight="1" x14ac:dyDescent="0.25">
      <c r="A24" s="3" t="s">
        <v>202</v>
      </c>
      <c r="B24" s="1" t="s">
        <v>84</v>
      </c>
      <c r="C24" s="1" t="s">
        <v>27</v>
      </c>
      <c r="D24" s="1" t="s">
        <v>84</v>
      </c>
      <c r="E24" s="4" t="s">
        <v>170</v>
      </c>
      <c r="F24" s="1" t="s">
        <v>85</v>
      </c>
      <c r="G24" s="1" t="s">
        <v>45</v>
      </c>
    </row>
    <row r="25" spans="1:7" ht="24.75" customHeight="1" x14ac:dyDescent="0.25">
      <c r="A25" s="3" t="s">
        <v>203</v>
      </c>
      <c r="B25" s="1" t="s">
        <v>86</v>
      </c>
      <c r="C25" s="1" t="s">
        <v>28</v>
      </c>
      <c r="D25" s="1" t="s">
        <v>178</v>
      </c>
      <c r="E25" s="4" t="s">
        <v>170</v>
      </c>
      <c r="F25" s="1" t="s">
        <v>87</v>
      </c>
      <c r="G25" s="1" t="s">
        <v>29</v>
      </c>
    </row>
    <row r="26" spans="1:7" ht="24.75" customHeight="1" x14ac:dyDescent="0.25">
      <c r="A26" s="3" t="s">
        <v>204</v>
      </c>
      <c r="B26" s="1" t="s">
        <v>88</v>
      </c>
      <c r="C26" s="1" t="s">
        <v>30</v>
      </c>
      <c r="D26" s="1" t="s">
        <v>181</v>
      </c>
      <c r="E26" s="4" t="s">
        <v>176</v>
      </c>
      <c r="F26" s="1" t="s">
        <v>89</v>
      </c>
      <c r="G26" s="1" t="s">
        <v>1</v>
      </c>
    </row>
    <row r="27" spans="1:7" ht="24.75" customHeight="1" x14ac:dyDescent="0.25">
      <c r="A27" s="3" t="s">
        <v>205</v>
      </c>
      <c r="B27" s="1" t="s">
        <v>90</v>
      </c>
      <c r="C27" s="1" t="s">
        <v>31</v>
      </c>
      <c r="D27" s="1" t="s">
        <v>183</v>
      </c>
      <c r="E27" s="4" t="s">
        <v>170</v>
      </c>
      <c r="F27" s="1" t="s">
        <v>91</v>
      </c>
      <c r="G27" s="1" t="s">
        <v>7</v>
      </c>
    </row>
    <row r="28" spans="1:7" ht="24.75" customHeight="1" x14ac:dyDescent="0.25">
      <c r="A28" s="3" t="s">
        <v>206</v>
      </c>
      <c r="B28" s="1" t="s">
        <v>92</v>
      </c>
      <c r="C28" s="1" t="s">
        <v>32</v>
      </c>
      <c r="D28" s="1" t="s">
        <v>178</v>
      </c>
      <c r="E28" s="4" t="s">
        <v>170</v>
      </c>
      <c r="F28" s="1" t="s">
        <v>93</v>
      </c>
      <c r="G28" s="1" t="s">
        <v>33</v>
      </c>
    </row>
    <row r="29" spans="1:7" ht="24.75" customHeight="1" x14ac:dyDescent="0.25">
      <c r="A29" s="3" t="s">
        <v>207</v>
      </c>
      <c r="B29" s="1" t="s">
        <v>114</v>
      </c>
      <c r="C29" s="1" t="s">
        <v>34</v>
      </c>
      <c r="D29" s="1" t="s">
        <v>94</v>
      </c>
      <c r="E29" s="4" t="s">
        <v>170</v>
      </c>
      <c r="F29" s="1" t="s">
        <v>95</v>
      </c>
      <c r="G29" s="1" t="s">
        <v>35</v>
      </c>
    </row>
    <row r="30" spans="1:7" ht="24.75" customHeight="1" x14ac:dyDescent="0.25">
      <c r="A30" s="3" t="s">
        <v>208</v>
      </c>
      <c r="B30" s="1" t="s">
        <v>96</v>
      </c>
      <c r="C30" s="1" t="s">
        <v>36</v>
      </c>
      <c r="D30" s="1" t="s">
        <v>96</v>
      </c>
      <c r="E30" s="4" t="s">
        <v>170</v>
      </c>
      <c r="F30" s="1" t="s">
        <v>97</v>
      </c>
      <c r="G30" s="1" t="s">
        <v>5</v>
      </c>
    </row>
    <row r="31" spans="1:7" ht="24.75" customHeight="1" x14ac:dyDescent="0.25">
      <c r="A31" s="3" t="s">
        <v>209</v>
      </c>
      <c r="B31" s="1" t="s">
        <v>98</v>
      </c>
      <c r="C31" s="1" t="s">
        <v>37</v>
      </c>
      <c r="D31" s="1" t="s">
        <v>98</v>
      </c>
      <c r="E31" s="4" t="s">
        <v>170</v>
      </c>
      <c r="F31" s="1" t="s">
        <v>99</v>
      </c>
      <c r="G31" s="1" t="s">
        <v>3</v>
      </c>
    </row>
    <row r="32" spans="1:7" ht="24.75" customHeight="1" x14ac:dyDescent="0.25">
      <c r="A32" s="3" t="s">
        <v>210</v>
      </c>
      <c r="B32" s="1" t="s">
        <v>115</v>
      </c>
      <c r="C32" s="1" t="s">
        <v>38</v>
      </c>
      <c r="D32" s="1" t="s">
        <v>100</v>
      </c>
      <c r="E32" s="4" t="s">
        <v>170</v>
      </c>
      <c r="F32" s="1" t="s">
        <v>101</v>
      </c>
      <c r="G32" s="1" t="s">
        <v>39</v>
      </c>
    </row>
    <row r="33" spans="1:7" ht="24.75" customHeight="1" x14ac:dyDescent="0.25">
      <c r="A33" s="3" t="s">
        <v>211</v>
      </c>
      <c r="B33" s="1" t="s">
        <v>102</v>
      </c>
      <c r="C33" s="1" t="s">
        <v>40</v>
      </c>
      <c r="D33" s="1" t="s">
        <v>102</v>
      </c>
      <c r="E33" s="4" t="s">
        <v>170</v>
      </c>
      <c r="F33" s="1" t="s">
        <v>103</v>
      </c>
      <c r="G33" s="1" t="s">
        <v>3</v>
      </c>
    </row>
    <row r="34" spans="1:7" ht="24.75" customHeight="1" x14ac:dyDescent="0.25">
      <c r="A34" s="3" t="s">
        <v>212</v>
      </c>
      <c r="B34" s="1" t="s">
        <v>104</v>
      </c>
      <c r="C34" s="1" t="s">
        <v>41</v>
      </c>
      <c r="D34" s="1" t="s">
        <v>179</v>
      </c>
      <c r="E34" s="4" t="s">
        <v>171</v>
      </c>
      <c r="F34" s="1" t="s">
        <v>105</v>
      </c>
      <c r="G34" s="1" t="s">
        <v>5</v>
      </c>
    </row>
    <row r="35" spans="1:7" ht="24.75" customHeight="1" x14ac:dyDescent="0.25">
      <c r="A35" s="3" t="s">
        <v>213</v>
      </c>
      <c r="B35" s="1" t="s">
        <v>106</v>
      </c>
      <c r="C35" s="1" t="s">
        <v>42</v>
      </c>
      <c r="D35" s="1" t="s">
        <v>106</v>
      </c>
      <c r="E35" s="4" t="s">
        <v>177</v>
      </c>
      <c r="F35" s="1" t="s">
        <v>107</v>
      </c>
      <c r="G35" s="1" t="s">
        <v>43</v>
      </c>
    </row>
    <row r="36" spans="1:7" ht="24.75" customHeight="1" x14ac:dyDescent="0.25">
      <c r="A36" s="3" t="s">
        <v>214</v>
      </c>
      <c r="B36" s="1" t="s">
        <v>108</v>
      </c>
      <c r="C36" s="1" t="s">
        <v>44</v>
      </c>
      <c r="D36" s="1" t="s">
        <v>178</v>
      </c>
      <c r="E36" s="4" t="s">
        <v>170</v>
      </c>
      <c r="F36" s="1" t="s">
        <v>109</v>
      </c>
      <c r="G36" s="1" t="s">
        <v>33</v>
      </c>
    </row>
  </sheetData>
  <phoneticPr fontId="3" type="noConversion"/>
  <conditionalFormatting sqref="C3">
    <cfRule type="cellIs" dxfId="4" priority="1" operator="equal">
      <formula>"Não Cadastrada"</formula>
    </cfRule>
  </conditionalFormatting>
  <dataValidations count="1">
    <dataValidation type="list" allowBlank="1" showErrorMessage="1" errorTitle="Erro" error="Esta sigla de loja é inválida, se_x000a_lecione outra" sqref="B3" xr:uid="{3694F1E6-ADBF-474B-92AF-7147771D22F1}">
      <formula1>Lojas_Siglas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992FF-FB85-42C9-A787-9B5B66BD5A71}">
  <sheetPr codeName="CONFIG_LOJA"/>
  <dimension ref="A1:U93"/>
  <sheetViews>
    <sheetView showGridLines="0" workbookViewId="0">
      <pane ySplit="5" topLeftCell="A6" activePane="bottomLeft" state="frozen"/>
      <selection activeCell="C4" sqref="C4"/>
      <selection pane="bottomLeft" activeCell="E6" sqref="E6:E10"/>
    </sheetView>
  </sheetViews>
  <sheetFormatPr defaultRowHeight="15" x14ac:dyDescent="0.25"/>
  <cols>
    <col min="1" max="1" width="13.42578125" style="2" customWidth="1"/>
    <col min="2" max="2" width="2.7109375" style="3" customWidth="1"/>
    <col min="3" max="3" width="13.140625" style="3" customWidth="1"/>
    <col min="4" max="4" width="2.7109375" style="3" customWidth="1"/>
    <col min="5" max="5" width="17.7109375" style="3" customWidth="1"/>
    <col min="6" max="6" width="2.28515625" style="3" customWidth="1"/>
    <col min="7" max="7" width="21" style="3" customWidth="1"/>
    <col min="8" max="8" width="2.28515625" style="3" customWidth="1"/>
    <col min="9" max="9" width="17.85546875" style="3" customWidth="1"/>
    <col min="10" max="10" width="12.140625" style="3" customWidth="1"/>
    <col min="11" max="11" width="20.28515625" style="3" customWidth="1"/>
    <col min="12" max="12" width="14" style="3" customWidth="1"/>
    <col min="13" max="13" width="1.7109375" style="3" customWidth="1"/>
    <col min="14" max="14" width="42.85546875" style="3" bestFit="1" customWidth="1"/>
    <col min="15" max="15" width="10.85546875" style="4" bestFit="1" customWidth="1"/>
    <col min="16" max="16" width="15.85546875" style="3" customWidth="1"/>
    <col min="17" max="17" width="19.5703125" style="3" customWidth="1"/>
    <col min="18" max="18" width="20.28515625" style="3" customWidth="1"/>
    <col min="19" max="19" width="12.28515625" style="3" customWidth="1"/>
    <col min="20" max="20" width="9.85546875" style="3" bestFit="1" customWidth="1"/>
    <col min="21" max="16384" width="9.140625" style="3"/>
  </cols>
  <sheetData>
    <row r="1" spans="1:21" ht="21" x14ac:dyDescent="0.25">
      <c r="A1" s="23" t="s">
        <v>277</v>
      </c>
      <c r="B1" s="1"/>
      <c r="C1" s="1"/>
      <c r="D1" s="1"/>
      <c r="E1" s="2"/>
      <c r="F1" s="2"/>
      <c r="G1" s="4"/>
      <c r="H1" s="4"/>
      <c r="I1" s="1"/>
      <c r="J1" s="1"/>
      <c r="K1" s="1"/>
      <c r="L1" s="2"/>
      <c r="M1" s="2"/>
      <c r="N1" s="2"/>
      <c r="P1" s="2"/>
      <c r="Q1" s="1"/>
      <c r="R1" s="1"/>
      <c r="S1" s="1"/>
      <c r="T1" s="1"/>
      <c r="U1" s="1"/>
    </row>
    <row r="2" spans="1:21" x14ac:dyDescent="0.25">
      <c r="B2" s="1"/>
      <c r="C2" s="1"/>
      <c r="D2" s="1"/>
      <c r="E2" s="2"/>
      <c r="F2" s="2"/>
      <c r="G2" s="4"/>
      <c r="H2" s="4"/>
      <c r="I2" s="1"/>
      <c r="J2" s="1"/>
      <c r="K2" s="1"/>
      <c r="L2" s="2"/>
      <c r="M2" s="2"/>
      <c r="N2" s="2"/>
      <c r="P2" s="2"/>
      <c r="Q2" s="1"/>
      <c r="R2" s="1"/>
      <c r="S2" s="1"/>
      <c r="T2" s="1"/>
      <c r="U2" s="1"/>
    </row>
    <row r="3" spans="1:21" ht="22.5" customHeight="1" x14ac:dyDescent="0.25">
      <c r="B3" s="1"/>
      <c r="C3" s="1"/>
      <c r="D3" s="1"/>
      <c r="E3" s="2"/>
      <c r="F3" s="2"/>
      <c r="G3" s="4"/>
      <c r="H3" s="4"/>
      <c r="I3" s="1"/>
      <c r="J3" s="1"/>
      <c r="K3" s="1"/>
      <c r="L3" s="2"/>
      <c r="M3" s="2"/>
      <c r="N3" s="2"/>
      <c r="P3" s="2"/>
      <c r="Q3" s="1"/>
      <c r="R3" s="1"/>
      <c r="S3" s="1"/>
      <c r="T3" s="1"/>
      <c r="U3" s="1"/>
    </row>
    <row r="4" spans="1:21" ht="22.5" customHeight="1" x14ac:dyDescent="0.25">
      <c r="A4" s="24" t="s">
        <v>218</v>
      </c>
      <c r="B4" s="25"/>
      <c r="C4" s="26" t="s">
        <v>230</v>
      </c>
      <c r="D4" s="24"/>
      <c r="E4" s="26" t="s">
        <v>231</v>
      </c>
      <c r="F4" s="24"/>
      <c r="G4" s="26" t="s">
        <v>278</v>
      </c>
      <c r="H4" s="24"/>
      <c r="I4" s="42" t="s">
        <v>253</v>
      </c>
      <c r="J4" s="42"/>
      <c r="K4" s="42"/>
      <c r="L4" s="42"/>
      <c r="M4" s="24"/>
      <c r="N4" s="42" t="s">
        <v>254</v>
      </c>
      <c r="O4" s="42"/>
      <c r="P4" s="42"/>
      <c r="Q4" s="42"/>
      <c r="R4" s="42"/>
      <c r="S4" s="42"/>
      <c r="T4" s="42"/>
      <c r="U4" s="1"/>
    </row>
    <row r="5" spans="1:21" ht="22.5" customHeight="1" x14ac:dyDescent="0.25">
      <c r="A5" s="6" t="s">
        <v>218</v>
      </c>
      <c r="C5" s="7" t="s">
        <v>230</v>
      </c>
      <c r="E5" s="7" t="s">
        <v>231</v>
      </c>
      <c r="G5" s="3" t="s">
        <v>258</v>
      </c>
      <c r="I5" s="9" t="s">
        <v>220</v>
      </c>
      <c r="J5" s="9" t="s">
        <v>225</v>
      </c>
      <c r="K5" s="10" t="s">
        <v>224</v>
      </c>
      <c r="L5" s="7" t="s">
        <v>219</v>
      </c>
      <c r="N5" s="9" t="s">
        <v>220</v>
      </c>
      <c r="O5" s="9" t="s">
        <v>225</v>
      </c>
      <c r="P5" s="7" t="s">
        <v>237</v>
      </c>
      <c r="Q5" s="7" t="s">
        <v>236</v>
      </c>
      <c r="R5" s="7" t="s">
        <v>276</v>
      </c>
      <c r="S5" s="5" t="s">
        <v>219</v>
      </c>
      <c r="T5" s="5" t="s">
        <v>224</v>
      </c>
    </row>
    <row r="6" spans="1:21" ht="22.5" customHeight="1" x14ac:dyDescent="0.25">
      <c r="A6" s="6" t="s">
        <v>222</v>
      </c>
      <c r="C6" s="7" t="s">
        <v>46</v>
      </c>
      <c r="E6" s="7" t="s">
        <v>232</v>
      </c>
      <c r="G6" s="3" t="s">
        <v>263</v>
      </c>
      <c r="I6" s="35" t="str">
        <f>IF(Zonas_Config[[#This Row],[Zona]]="","",Zonas_Config[[#This Row],[Zona]]&amp;" - " &amp;Zonas_Config[[#This Row],[Andar]])</f>
        <v>Zona 01 - 1º andar</v>
      </c>
      <c r="J6" s="6" t="str">
        <f>IF(Zonas_Config[[#This Row],[Zona]]="","",IF(COUNTIF(Zonas_Config[Descrição],Zonas_Config[[#This Row],[Descrição]])&gt;1,"Erro Duplicidade","OK"))</f>
        <v>OK</v>
      </c>
      <c r="K6" s="7" t="s">
        <v>226</v>
      </c>
      <c r="L6" s="7" t="s">
        <v>222</v>
      </c>
      <c r="N6" s="33" t="str">
        <f>IF(Universos[[#This Row],[Universo]]="","",Universos[[#This Row],[Universo]]&amp; " - "  &amp;Universos[[#This Row],[Zona/Andar]])</f>
        <v>Água - Zona 02 - 1º andar</v>
      </c>
      <c r="O6" s="6" t="str">
        <f>IF(Universos[[#This Row],[Universo]]="","",IF(COUNTIF(Universos[Descrição],Universos[[#This Row],[Descrição]])&gt;1,"Erro Duplicidade","OK"))</f>
        <v>OK</v>
      </c>
      <c r="P6" s="11" t="s">
        <v>243</v>
      </c>
      <c r="Q6" s="7" t="s">
        <v>232</v>
      </c>
      <c r="R6" s="7" t="s">
        <v>249</v>
      </c>
      <c r="S6" s="29" t="str">
        <f>VLOOKUP(Universos[[#This Row],[Zona/Andar]],Zonas_Config[],4,0)</f>
        <v>1º andar</v>
      </c>
      <c r="T6" s="28" t="str">
        <f>VLOOKUP(Universos[[#This Row],[Zona/Andar]],Zonas_Config[],3,0)</f>
        <v>Zona 02</v>
      </c>
    </row>
    <row r="7" spans="1:21" ht="22.5" customHeight="1" x14ac:dyDescent="0.25">
      <c r="A7" s="6" t="s">
        <v>223</v>
      </c>
      <c r="C7" s="7" t="s">
        <v>226</v>
      </c>
      <c r="E7" s="7" t="s">
        <v>233</v>
      </c>
      <c r="G7" s="3" t="s">
        <v>262</v>
      </c>
      <c r="I7" s="35" t="str">
        <f>IF(Zonas_Config[[#This Row],[Zona]]="","",Zonas_Config[[#This Row],[Zona]]&amp;" - " &amp;Zonas_Config[[#This Row],[Andar]])</f>
        <v>Zona 02 - 1º andar</v>
      </c>
      <c r="J7" s="6" t="str">
        <f>IF(Zonas_Config[[#This Row],[Zona]]="","",IF(COUNTIF(Zonas_Config[Descrição],Zonas_Config[[#This Row],[Descrição]])&gt;1,"Erro Duplicidade","OK"))</f>
        <v>OK</v>
      </c>
      <c r="K7" s="7" t="s">
        <v>229</v>
      </c>
      <c r="L7" s="7" t="s">
        <v>222</v>
      </c>
      <c r="N7" s="34" t="str">
        <f>IF(Universos[[#This Row],[Universo]]="","",Universos[[#This Row],[Universo]]&amp; " - "  &amp;Universos[[#This Row],[Zona/Andar]])</f>
        <v>Atendimento - Zona 01 - 1º andar</v>
      </c>
      <c r="O7" s="12" t="str">
        <f>IF(Universos[[#This Row],[Universo]]="","",IF(COUNTIF(Universos[Descrição],Universos[[#This Row],[Descrição]])&gt;1,"Erro Duplicidade","OK"))</f>
        <v>OK</v>
      </c>
      <c r="P7" s="3" t="s">
        <v>266</v>
      </c>
      <c r="Q7" s="3" t="s">
        <v>235</v>
      </c>
      <c r="R7" s="3" t="s">
        <v>248</v>
      </c>
      <c r="S7" s="29" t="str">
        <f>VLOOKUP(Universos[[#This Row],[Zona/Andar]],Zonas_Config[],4,0)</f>
        <v>1º andar</v>
      </c>
      <c r="T7" s="28" t="str">
        <f>VLOOKUP(Universos[[#This Row],[Zona/Andar]],Zonas_Config[],3,0)</f>
        <v>Zona 01</v>
      </c>
    </row>
    <row r="8" spans="1:21" ht="22.5" customHeight="1" x14ac:dyDescent="0.25">
      <c r="A8" s="6" t="s">
        <v>221</v>
      </c>
      <c r="C8" s="7" t="s">
        <v>229</v>
      </c>
      <c r="E8" s="7" t="s">
        <v>234</v>
      </c>
      <c r="G8" s="3" t="s">
        <v>264</v>
      </c>
      <c r="I8" s="35" t="str">
        <f>IF(Zonas_Config[[#This Row],[Zona]]="","",Zonas_Config[[#This Row],[Zona]]&amp;" - " &amp;Zonas_Config[[#This Row],[Andar]])</f>
        <v>Zona 03 - 1º andar</v>
      </c>
      <c r="J8" s="6" t="str">
        <f>IF(Zonas_Config[[#This Row],[Zona]]="","",IF(COUNTIF(Zonas_Config[Descrição],Zonas_Config[[#This Row],[Descrição]])&gt;1,"Erro Duplicidade","OK"))</f>
        <v>OK</v>
      </c>
      <c r="K8" s="7" t="s">
        <v>227</v>
      </c>
      <c r="L8" s="7" t="s">
        <v>222</v>
      </c>
      <c r="N8" s="33" t="str">
        <f>IF(Universos[[#This Row],[Universo]]="","",Universos[[#This Row],[Universo]]&amp; " - "  &amp;Universos[[#This Row],[Zona/Andar]])</f>
        <v>Coletivos - Zona 03 - 1º andar</v>
      </c>
      <c r="O8" s="6" t="str">
        <f>IF(Universos[[#This Row],[Universo]]="","",IF(COUNTIF(Universos[Descrição],Universos[[#This Row],[Descrição]])&gt;1,"Erro Duplicidade","OK"))</f>
        <v>OK</v>
      </c>
      <c r="P8" s="11" t="s">
        <v>240</v>
      </c>
      <c r="Q8" s="7" t="s">
        <v>232</v>
      </c>
      <c r="R8" s="7" t="s">
        <v>250</v>
      </c>
      <c r="S8" s="29" t="str">
        <f>VLOOKUP(Universos[[#This Row],[Zona/Andar]],Zonas_Config[],4,0)</f>
        <v>1º andar</v>
      </c>
      <c r="T8" s="28" t="str">
        <f>VLOOKUP(Universos[[#This Row],[Zona/Andar]],Zonas_Config[],3,0)</f>
        <v>Zona 03</v>
      </c>
    </row>
    <row r="9" spans="1:21" ht="22.5" customHeight="1" x14ac:dyDescent="0.25">
      <c r="A9" s="6" t="s">
        <v>252</v>
      </c>
      <c r="C9" s="7" t="s">
        <v>227</v>
      </c>
      <c r="E9" s="7" t="s">
        <v>235</v>
      </c>
      <c r="G9" s="3" t="s">
        <v>261</v>
      </c>
      <c r="I9" s="35" t="str">
        <f>IF(Zonas_Config[[#This Row],[Zona]]="","",Zonas_Config[[#This Row],[Zona]]&amp;" - " &amp;Zonas_Config[[#This Row],[Andar]])</f>
        <v>Zona 04 - 1º andar</v>
      </c>
      <c r="J9" s="6" t="str">
        <f>IF(Zonas_Config[[#This Row],[Zona]]="","",IF(COUNTIF(Zonas_Config[Descrição],Zonas_Config[[#This Row],[Descrição]])&gt;1,"Erro Duplicidade","OK"))</f>
        <v>OK</v>
      </c>
      <c r="K9" s="7" t="s">
        <v>228</v>
      </c>
      <c r="L9" s="7" t="s">
        <v>222</v>
      </c>
      <c r="N9" s="33" t="str">
        <f>IF(Universos[[#This Row],[Universo]]="","",Universos[[#This Row],[Universo]]&amp; " - "  &amp;Universos[[#This Row],[Zona/Andar]])</f>
        <v>Corrida - Zona 02 - 1º andar</v>
      </c>
      <c r="O9" s="6" t="str">
        <f>IF(Universos[[#This Row],[Universo]]="","",IF(COUNTIF(Universos[Descrição],Universos[[#This Row],[Descrição]])&gt;1,"Erro Duplicidade","OK"))</f>
        <v>OK</v>
      </c>
      <c r="P9" s="11" t="s">
        <v>239</v>
      </c>
      <c r="Q9" s="7" t="s">
        <v>232</v>
      </c>
      <c r="R9" s="7" t="s">
        <v>249</v>
      </c>
      <c r="S9" s="29" t="str">
        <f>VLOOKUP(Universos[[#This Row],[Zona/Andar]],Zonas_Config[],4,0)</f>
        <v>1º andar</v>
      </c>
      <c r="T9" s="28" t="str">
        <f>VLOOKUP(Universos[[#This Row],[Zona/Andar]],Zonas_Config[],3,0)</f>
        <v>Zona 02</v>
      </c>
    </row>
    <row r="10" spans="1:21" ht="22.5" customHeight="1" x14ac:dyDescent="0.25">
      <c r="C10" s="7" t="s">
        <v>228</v>
      </c>
      <c r="E10" s="3" t="s">
        <v>271</v>
      </c>
      <c r="G10" s="3" t="s">
        <v>267</v>
      </c>
      <c r="I10" s="35" t="str">
        <f>IF(Zonas_Config[[#This Row],[Zona]]="","",Zonas_Config[[#This Row],[Zona]]&amp;" - " &amp;Zonas_Config[[#This Row],[Andar]])</f>
        <v>Zona 01 - 2º andar</v>
      </c>
      <c r="J10" s="6" t="str">
        <f>IF(Zonas_Config[[#This Row],[Zona]]="","",IF(COUNTIF(Zonas_Config[Descrição],Zonas_Config[[#This Row],[Descrição]])&gt;1,"Erro Duplicidade","OK"))</f>
        <v>OK</v>
      </c>
      <c r="K10" s="7" t="s">
        <v>226</v>
      </c>
      <c r="L10" s="7" t="s">
        <v>223</v>
      </c>
      <c r="N10" s="33" t="str">
        <f>IF(Universos[[#This Row],[Universo]]="","",Universos[[#This Row],[Universo]]&amp; " - "  &amp;Universos[[#This Row],[Zona/Andar]])</f>
        <v>Fitness - Zona 04 - 1º andar</v>
      </c>
      <c r="O10" s="6" t="str">
        <f>IF(Universos[[#This Row],[Universo]]="","",IF(COUNTIF(Universos[Descrição],Universos[[#This Row],[Descrição]])&gt;1,"Erro Duplicidade","OK"))</f>
        <v>OK</v>
      </c>
      <c r="P10" s="7" t="s">
        <v>242</v>
      </c>
      <c r="Q10" s="7" t="s">
        <v>232</v>
      </c>
      <c r="R10" s="7" t="s">
        <v>251</v>
      </c>
      <c r="S10" s="29" t="str">
        <f>VLOOKUP(Universos[[#This Row],[Zona/Andar]],Zonas_Config[],4,0)</f>
        <v>1º andar</v>
      </c>
      <c r="T10" s="28" t="str">
        <f>VLOOKUP(Universos[[#This Row],[Zona/Andar]],Zonas_Config[],3,0)</f>
        <v>Zona 04</v>
      </c>
    </row>
    <row r="11" spans="1:21" ht="22.5" customHeight="1" x14ac:dyDescent="0.25">
      <c r="G11" s="3" t="s">
        <v>269</v>
      </c>
      <c r="I11" s="35" t="str">
        <f>IF(Zonas_Config[[#This Row],[Zona]]="","",Zonas_Config[[#This Row],[Zona]]&amp;" - " &amp;Zonas_Config[[#This Row],[Andar]])</f>
        <v>Zona 02 - 2º andar</v>
      </c>
      <c r="J11" s="8" t="str">
        <f>IF(Zonas_Config[[#This Row],[Zona]]="","",IF(COUNTIF(Zonas_Config[Descrição],Zonas_Config[[#This Row],[Descrição]])&gt;1,"Erro Duplicidade","OK"))</f>
        <v>OK</v>
      </c>
      <c r="K11" s="7" t="s">
        <v>229</v>
      </c>
      <c r="L11" s="7" t="s">
        <v>223</v>
      </c>
      <c r="N11" s="33" t="str">
        <f>IF(Universos[[#This Row],[Universo]]="","",Universos[[#This Row],[Universo]]&amp; " - "  &amp;Universos[[#This Row],[Zona/Andar]])</f>
        <v>Gerentes - Loja - 1º andar</v>
      </c>
      <c r="O11" s="6" t="str">
        <f>IF(Universos[[#This Row],[Universo]]="","",IF(COUNTIF(Universos[Descrição],Universos[[#This Row],[Descrição]])&gt;1,"Erro Duplicidade","OK"))</f>
        <v>OK</v>
      </c>
      <c r="P11" s="7" t="s">
        <v>245</v>
      </c>
      <c r="Q11" s="7" t="s">
        <v>235</v>
      </c>
      <c r="R11" s="7" t="s">
        <v>274</v>
      </c>
      <c r="S11" s="29" t="str">
        <f>VLOOKUP(Universos[[#This Row],[Zona/Andar]],Zonas_Config[],4,0)</f>
        <v>1º andar</v>
      </c>
      <c r="T11" s="28" t="str">
        <f>VLOOKUP(Universos[[#This Row],[Zona/Andar]],Zonas_Config[],3,0)</f>
        <v>Loja</v>
      </c>
    </row>
    <row r="12" spans="1:21" ht="22.5" customHeight="1" x14ac:dyDescent="0.25">
      <c r="G12" s="3" t="s">
        <v>268</v>
      </c>
      <c r="I12" s="35" t="str">
        <f>IF(Zonas_Config[[#This Row],[Zona]]="","",Zonas_Config[[#This Row],[Zona]]&amp;" - " &amp;Zonas_Config[[#This Row],[Andar]])</f>
        <v>Zona 03 - 2º andar</v>
      </c>
      <c r="J12" s="8" t="str">
        <f>IF(Zonas_Config[[#This Row],[Zona]]="","",IF(COUNTIF(Zonas_Config[Descrição],Zonas_Config[[#This Row],[Descrição]])&gt;1,"Erro Duplicidade","OK"))</f>
        <v>OK</v>
      </c>
      <c r="K12" s="7" t="s">
        <v>227</v>
      </c>
      <c r="L12" s="7" t="s">
        <v>223</v>
      </c>
      <c r="N12" s="33" t="str">
        <f>IF(Universos[[#This Row],[Universo]]="","",Universos[[#This Row],[Universo]]&amp; " - "  &amp;Universos[[#This Row],[Zona/Andar]])</f>
        <v>Montanha - Zona 04 - 1º andar</v>
      </c>
      <c r="O12" s="6" t="str">
        <f>IF(Universos[[#This Row],[Universo]]="","",IF(COUNTIF(Universos[Descrição],Universos[[#This Row],[Descrição]])&gt;1,"Erro Duplicidade","OK"))</f>
        <v>OK</v>
      </c>
      <c r="P12" s="11" t="s">
        <v>241</v>
      </c>
      <c r="Q12" s="7" t="s">
        <v>232</v>
      </c>
      <c r="R12" s="7" t="s">
        <v>251</v>
      </c>
      <c r="S12" s="29" t="str">
        <f>VLOOKUP(Universos[[#This Row],[Zona/Andar]],Zonas_Config[],4,0)</f>
        <v>1º andar</v>
      </c>
      <c r="T12" s="28" t="str">
        <f>VLOOKUP(Universos[[#This Row],[Zona/Andar]],Zonas_Config[],3,0)</f>
        <v>Zona 04</v>
      </c>
    </row>
    <row r="13" spans="1:21" ht="22.5" customHeight="1" x14ac:dyDescent="0.25">
      <c r="G13" s="3" t="s">
        <v>260</v>
      </c>
      <c r="I13" s="35" t="str">
        <f>IF(Zonas_Config[[#This Row],[Zona]]="","",Zonas_Config[[#This Row],[Zona]]&amp;" - " &amp;Zonas_Config[[#This Row],[Andar]])</f>
        <v>Zona 04 - 2º andar</v>
      </c>
      <c r="J13" s="8" t="str">
        <f>IF(Zonas_Config[[#This Row],[Zona]]="","",IF(COUNTIF(Zonas_Config[Descrição],Zonas_Config[[#This Row],[Descrição]])&gt;1,"Erro Duplicidade","OK"))</f>
        <v>OK</v>
      </c>
      <c r="K13" s="7" t="s">
        <v>228</v>
      </c>
      <c r="L13" s="7" t="s">
        <v>223</v>
      </c>
      <c r="N13" s="33" t="str">
        <f>IF(Universos[[#This Row],[Universo]]="","",Universos[[#This Row],[Universo]]&amp; " - "  &amp;Universos[[#This Row],[Zona/Andar]])</f>
        <v>Raquetes - Zona 03 - 1º andar</v>
      </c>
      <c r="O13" s="6" t="str">
        <f>IF(Universos[[#This Row],[Universo]]="","",IF(COUNTIF(Universos[Descrição],Universos[[#This Row],[Descrição]])&gt;1,"Erro Duplicidade","OK"))</f>
        <v>OK</v>
      </c>
      <c r="P13" s="7" t="s">
        <v>244</v>
      </c>
      <c r="Q13" s="7" t="s">
        <v>232</v>
      </c>
      <c r="R13" s="7" t="s">
        <v>250</v>
      </c>
      <c r="S13" s="29" t="str">
        <f>VLOOKUP(Universos[[#This Row],[Zona/Andar]],Zonas_Config[],4,0)</f>
        <v>1º andar</v>
      </c>
      <c r="T13" s="28" t="str">
        <f>VLOOKUP(Universos[[#This Row],[Zona/Andar]],Zonas_Config[],3,0)</f>
        <v>Zona 03</v>
      </c>
    </row>
    <row r="14" spans="1:21" ht="22.5" customHeight="1" x14ac:dyDescent="0.25">
      <c r="I14" s="33" t="str">
        <f>IF(Zonas_Config[[#This Row],[Zona]]="","",Zonas_Config[[#This Row],[Zona]]&amp;" - " &amp;Zonas_Config[[#This Row],[Andar]])</f>
        <v>Loja - 1º andar</v>
      </c>
      <c r="J14" s="8" t="str">
        <f>IF(Zonas_Config[[#This Row],[Zona]]="","",IF(COUNTIF(Zonas_Config[Descrição],Zonas_Config[[#This Row],[Descrição]])&gt;1,"Erro Duplicidade","OK"))</f>
        <v>OK</v>
      </c>
      <c r="K14" s="7" t="s">
        <v>46</v>
      </c>
      <c r="L14" s="7" t="s">
        <v>222</v>
      </c>
      <c r="N14" s="33" t="str">
        <f>IF(Universos[[#This Row],[Universo]]="","",Universos[[#This Row],[Universo]]&amp; " - "  &amp;Universos[[#This Row],[Zona/Andar]])</f>
        <v>Rodas - Zona 01 - 1º andar</v>
      </c>
      <c r="O14" s="6" t="str">
        <f>IF(Universos[[#This Row],[Universo]]="","",IF(COUNTIF(Universos[Descrição],Universos[[#This Row],[Descrição]])&gt;1,"Erro Duplicidade","OK"))</f>
        <v>OK</v>
      </c>
      <c r="P14" s="11" t="s">
        <v>238</v>
      </c>
      <c r="Q14" s="7" t="s">
        <v>232</v>
      </c>
      <c r="R14" s="7" t="s">
        <v>248</v>
      </c>
      <c r="S14" s="29" t="str">
        <f>VLOOKUP(Universos[[#This Row],[Zona/Andar]],Zonas_Config[],4,0)</f>
        <v>1º andar</v>
      </c>
      <c r="T14" s="28" t="str">
        <f>VLOOKUP(Universos[[#This Row],[Zona/Andar]],Zonas_Config[],3,0)</f>
        <v>Zona 01</v>
      </c>
    </row>
    <row r="15" spans="1:21" ht="22.5" customHeight="1" x14ac:dyDescent="0.25">
      <c r="I15" s="7"/>
      <c r="J15" s="7"/>
      <c r="K15" s="7"/>
      <c r="L15" s="7"/>
      <c r="N15" s="34" t="str">
        <f>IF(Universos[[#This Row],[Universo]]="","",Universos[[#This Row],[Universo]]&amp; " - "  &amp;Universos[[#This Row],[Zona/Andar]])</f>
        <v>Serviços - Zona 01 - 1º andar</v>
      </c>
      <c r="O15" s="12" t="str">
        <f>IF(Universos[[#This Row],[Universo]]="","",IF(COUNTIF(Universos[Descrição],Universos[[#This Row],[Descrição]])&gt;1,"Erro Duplicidade","OK"))</f>
        <v>OK</v>
      </c>
      <c r="P15" s="3" t="s">
        <v>247</v>
      </c>
      <c r="Q15" s="3" t="s">
        <v>271</v>
      </c>
      <c r="R15" s="3" t="s">
        <v>248</v>
      </c>
      <c r="S15" s="29" t="str">
        <f>VLOOKUP(Universos[[#This Row],[Zona/Andar]],Zonas_Config[],4,0)</f>
        <v>1º andar</v>
      </c>
      <c r="T15" s="28" t="str">
        <f>VLOOKUP(Universos[[#This Row],[Zona/Andar]],Zonas_Config[],3,0)</f>
        <v>Zona 01</v>
      </c>
    </row>
    <row r="16" spans="1:21" ht="22.5" customHeight="1" x14ac:dyDescent="0.25">
      <c r="I16" s="7"/>
      <c r="J16" s="7"/>
      <c r="K16" s="7"/>
      <c r="L16" s="7"/>
      <c r="N16" s="34" t="str">
        <f>IF(Universos[[#This Row],[Universo]]="","",Universos[[#This Row],[Universo]]&amp; " - "  &amp;Universos[[#This Row],[Zona/Andar]])</f>
        <v>Serviços - Zona 02 - 1º andar</v>
      </c>
      <c r="O16" s="12" t="str">
        <f>IF(Universos[[#This Row],[Universo]]="","",IF(COUNTIF(Universos[Descrição],Universos[[#This Row],[Descrição]])&gt;1,"Erro Duplicidade","OK"))</f>
        <v>OK</v>
      </c>
      <c r="P16" s="3" t="s">
        <v>247</v>
      </c>
      <c r="Q16" s="3" t="s">
        <v>271</v>
      </c>
      <c r="R16" s="3" t="s">
        <v>249</v>
      </c>
      <c r="S16" s="29" t="str">
        <f>VLOOKUP(Universos[[#This Row],[Zona/Andar]],Zonas_Config[],4,0)</f>
        <v>1º andar</v>
      </c>
      <c r="T16" s="28" t="str">
        <f>VLOOKUP(Universos[[#This Row],[Zona/Andar]],Zonas_Config[],3,0)</f>
        <v>Zona 02</v>
      </c>
    </row>
    <row r="17" spans="9:20" ht="22.5" customHeight="1" x14ac:dyDescent="0.25">
      <c r="I17" s="7"/>
      <c r="J17" s="7"/>
      <c r="K17" s="7"/>
      <c r="L17" s="7"/>
      <c r="N17" s="34" t="str">
        <f>IF(Universos[[#This Row],[Universo]]="","",Universos[[#This Row],[Universo]]&amp; " - "  &amp;Universos[[#This Row],[Zona/Andar]])</f>
        <v>Serviços - Zona 03 - 1º andar</v>
      </c>
      <c r="O17" s="12" t="str">
        <f>IF(Universos[[#This Row],[Universo]]="","",IF(COUNTIF(Universos[Descrição],Universos[[#This Row],[Descrição]])&gt;1,"Erro Duplicidade","OK"))</f>
        <v>OK</v>
      </c>
      <c r="P17" s="3" t="s">
        <v>247</v>
      </c>
      <c r="Q17" s="3" t="s">
        <v>235</v>
      </c>
      <c r="R17" s="3" t="s">
        <v>250</v>
      </c>
      <c r="S17" s="43" t="str">
        <f>VLOOKUP(Universos[[#This Row],[Zona/Andar]],Zonas_Config[],4,0)</f>
        <v>1º andar</v>
      </c>
      <c r="T17" s="44" t="str">
        <f>VLOOKUP(Universos[[#This Row],[Zona/Andar]],Zonas_Config[],3,0)</f>
        <v>Zona 03</v>
      </c>
    </row>
    <row r="18" spans="9:20" ht="22.5" customHeight="1" x14ac:dyDescent="0.25">
      <c r="I18" s="7"/>
      <c r="J18" s="7"/>
      <c r="K18" s="7"/>
      <c r="L18" s="7"/>
      <c r="N18" s="33" t="str">
        <f>IF(Universos[[#This Row],[Universo]]="","",Universos[[#This Row],[Universo]]&amp; " - "  &amp;Universos[[#This Row],[Zona/Andar]])</f>
        <v>Serviços - Zona 04 - 1º andar</v>
      </c>
      <c r="O18" s="6" t="str">
        <f>IF(Universos[[#This Row],[Universo]]="","",IF(COUNTIF(Universos[Descrição],Universos[[#This Row],[Descrição]])&gt;1,"Erro Duplicidade","OK"))</f>
        <v>OK</v>
      </c>
      <c r="P18" s="7" t="s">
        <v>247</v>
      </c>
      <c r="Q18" s="7" t="s">
        <v>271</v>
      </c>
      <c r="R18" s="7" t="s">
        <v>251</v>
      </c>
      <c r="S18" s="29" t="str">
        <f>VLOOKUP(Universos[[#This Row],[Zona/Andar]],Zonas_Config[],4,0)</f>
        <v>1º andar</v>
      </c>
      <c r="T18" s="28" t="str">
        <f>VLOOKUP(Universos[[#This Row],[Zona/Andar]],Zonas_Config[],3,0)</f>
        <v>Zona 04</v>
      </c>
    </row>
    <row r="19" spans="9:20" ht="22.5" customHeight="1" x14ac:dyDescent="0.25">
      <c r="I19" s="7"/>
      <c r="J19" s="7"/>
      <c r="K19" s="7"/>
      <c r="L19" s="7"/>
      <c r="N19" s="33" t="str">
        <f>IF(Universos[[#This Row],[Universo]]="","",Universos[[#This Row],[Universo]]&amp; " - "  &amp;Universos[[#This Row],[Zona/Andar]])</f>
        <v>Visitantes - Loja - 1º andar</v>
      </c>
      <c r="O19" s="6" t="str">
        <f>IF(Universos[[#This Row],[Universo]]="","",IF(COUNTIF(Universos[Descrição],Universos[[#This Row],[Descrição]])&gt;1,"Erro Duplicidade","OK"))</f>
        <v>OK</v>
      </c>
      <c r="P19" s="7" t="s">
        <v>246</v>
      </c>
      <c r="Q19" s="7" t="s">
        <v>235</v>
      </c>
      <c r="R19" s="7" t="s">
        <v>274</v>
      </c>
      <c r="S19" s="29" t="str">
        <f>VLOOKUP(Universos[[#This Row],[Zona/Andar]],Zonas_Config[],4,0)</f>
        <v>1º andar</v>
      </c>
      <c r="T19" s="28" t="str">
        <f>VLOOKUP(Universos[[#This Row],[Zona/Andar]],Zonas_Config[],3,0)</f>
        <v>Loja</v>
      </c>
    </row>
    <row r="20" spans="9:20" ht="22.5" customHeight="1" x14ac:dyDescent="0.25"/>
    <row r="21" spans="9:20" ht="22.5" customHeight="1" x14ac:dyDescent="0.25"/>
    <row r="22" spans="9:20" ht="22.5" customHeight="1" x14ac:dyDescent="0.25"/>
    <row r="23" spans="9:20" ht="22.5" customHeight="1" x14ac:dyDescent="0.25"/>
    <row r="24" spans="9:20" ht="22.5" customHeight="1" x14ac:dyDescent="0.25"/>
    <row r="25" spans="9:20" ht="22.5" customHeight="1" x14ac:dyDescent="0.25"/>
    <row r="26" spans="9:20" ht="22.5" customHeight="1" x14ac:dyDescent="0.25"/>
    <row r="27" spans="9:20" ht="22.5" customHeight="1" x14ac:dyDescent="0.25"/>
    <row r="28" spans="9:20" ht="22.5" customHeight="1" x14ac:dyDescent="0.25"/>
    <row r="29" spans="9:20" ht="22.5" customHeight="1" x14ac:dyDescent="0.25"/>
    <row r="30" spans="9:20" ht="22.5" customHeight="1" x14ac:dyDescent="0.25"/>
    <row r="31" spans="9:20" ht="22.5" customHeight="1" x14ac:dyDescent="0.25"/>
    <row r="32" spans="9:20" ht="22.5" customHeight="1" x14ac:dyDescent="0.25"/>
    <row r="33" ht="22.5" customHeight="1" x14ac:dyDescent="0.25"/>
    <row r="34" ht="22.5" customHeight="1" x14ac:dyDescent="0.25"/>
    <row r="35" ht="22.5" customHeight="1" x14ac:dyDescent="0.25"/>
    <row r="36" ht="22.5" customHeight="1" x14ac:dyDescent="0.25"/>
    <row r="37" ht="22.5" customHeight="1" x14ac:dyDescent="0.25"/>
    <row r="38" ht="22.5" customHeight="1" x14ac:dyDescent="0.25"/>
    <row r="39" ht="22.5" customHeight="1" x14ac:dyDescent="0.25"/>
    <row r="40" ht="22.5" customHeight="1" x14ac:dyDescent="0.25"/>
    <row r="41" ht="22.5" customHeight="1" x14ac:dyDescent="0.25"/>
    <row r="42" ht="22.5" customHeight="1" x14ac:dyDescent="0.25"/>
    <row r="43" ht="22.5" customHeight="1" x14ac:dyDescent="0.25"/>
    <row r="44" ht="22.5" customHeight="1" x14ac:dyDescent="0.25"/>
    <row r="45" ht="22.5" customHeight="1" x14ac:dyDescent="0.25"/>
    <row r="46" ht="22.5" customHeight="1" x14ac:dyDescent="0.25"/>
    <row r="47" ht="22.5" customHeight="1" x14ac:dyDescent="0.25"/>
    <row r="48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</sheetData>
  <mergeCells count="2">
    <mergeCell ref="I4:L4"/>
    <mergeCell ref="N4:T4"/>
  </mergeCells>
  <phoneticPr fontId="3" type="noConversion"/>
  <conditionalFormatting sqref="J6:J14">
    <cfRule type="cellIs" dxfId="3" priority="9" operator="equal">
      <formula>"OK"</formula>
    </cfRule>
    <cfRule type="cellIs" dxfId="2" priority="10" operator="equal">
      <formula>"Erro Duplicidade"</formula>
    </cfRule>
  </conditionalFormatting>
  <conditionalFormatting sqref="O6:O19">
    <cfRule type="cellIs" dxfId="1" priority="1" operator="equal">
      <formula>"OK"</formula>
    </cfRule>
    <cfRule type="cellIs" dxfId="0" priority="2" operator="equal">
      <formula>"Erro Duplicidade"</formula>
    </cfRule>
  </conditionalFormatting>
  <dataValidations count="4">
    <dataValidation type="list" allowBlank="1" showInputMessage="1" showErrorMessage="1" sqref="J15 R6:R19" xr:uid="{5866CB0F-F99E-4036-BA63-4250F1128153}">
      <formula1>$I$6:$I$19</formula1>
    </dataValidation>
    <dataValidation type="list" allowBlank="1" showInputMessage="1" showErrorMessage="1" sqref="L6:L14" xr:uid="{086A15A8-3AD4-4CB9-BE83-A5AB1572A6F2}">
      <formula1>$A$6:$A$9</formula1>
    </dataValidation>
    <dataValidation type="list" allowBlank="1" showInputMessage="1" showErrorMessage="1" sqref="K6:K14" xr:uid="{A66E1376-E7A0-4808-BBEE-7E7D9592B99A}">
      <formula1>$C$6:$C$10</formula1>
    </dataValidation>
    <dataValidation type="list" allowBlank="1" showInputMessage="1" showErrorMessage="1" sqref="Q6:Q19" xr:uid="{584382FA-EDDA-48CD-A86A-6A23A019969B}">
      <formula1>$E$6:$E$10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9FC0DC-142B-4649-95EC-2E0A4CAEDF50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16</vt:i4>
      </vt:variant>
    </vt:vector>
  </HeadingPairs>
  <TitlesOfParts>
    <vt:vector size="22" baseType="lpstr">
      <vt:lpstr>Config</vt:lpstr>
      <vt:lpstr>Funcionarios</vt:lpstr>
      <vt:lpstr>Terceiros</vt:lpstr>
      <vt:lpstr>Visitantes</vt:lpstr>
      <vt:lpstr>Lojas</vt:lpstr>
      <vt:lpstr>Config Loja</vt:lpstr>
      <vt:lpstr>BANCO_DADOS</vt:lpstr>
      <vt:lpstr>Esta_Loja</vt:lpstr>
      <vt:lpstr>Esta_Loja_Sigla</vt:lpstr>
      <vt:lpstr>'Config Loja'!Lojas_Siglas</vt:lpstr>
      <vt:lpstr>Terceiros!Lojas_Siglas</vt:lpstr>
      <vt:lpstr>Visitantes!Lojas_Siglas</vt:lpstr>
      <vt:lpstr>Lojas_Siglas</vt:lpstr>
      <vt:lpstr>Mensagem_Colaboradores</vt:lpstr>
      <vt:lpstr>Mensagem_Terceiros</vt:lpstr>
      <vt:lpstr>Mensagem_Visitantes</vt:lpstr>
      <vt:lpstr>SENHA</vt:lpstr>
      <vt:lpstr>SERVIDOR_SQL</vt:lpstr>
      <vt:lpstr>Total_Colaboradores</vt:lpstr>
      <vt:lpstr>Total_Terceiros</vt:lpstr>
      <vt:lpstr>Total_Visitantes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Waldomiro Barbosa</dc:creator>
  <cp:lastModifiedBy>EVO Banco</cp:lastModifiedBy>
  <dcterms:created xsi:type="dcterms:W3CDTF">2019-12-12T00:57:58Z</dcterms:created>
  <dcterms:modified xsi:type="dcterms:W3CDTF">2019-12-15T22:18:53Z</dcterms:modified>
</cp:coreProperties>
</file>